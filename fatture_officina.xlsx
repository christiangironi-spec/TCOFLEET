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ntesi per Tipo" sheetId="1" state="visible" r:id="rId3"/>
    <sheet name="Registro Fatture" sheetId="2" state="visible" r:id="rId4"/>
    <sheet name="OFF-2025-001" sheetId="3" state="visible" r:id="rId5"/>
    <sheet name="OFF-2025-002" sheetId="4" state="visible" r:id="rId6"/>
    <sheet name="OFF-2025-003" sheetId="5" state="visible" r:id="rId7"/>
    <sheet name="OFF-2025-004" sheetId="6" state="visible" r:id="rId8"/>
    <sheet name="OFF-2025-005" sheetId="7" state="visible" r:id="rId9"/>
    <sheet name="OFF-2025-006" sheetId="8" state="visible" r:id="rId10"/>
    <sheet name="OFF-2025-007" sheetId="9" state="visible" r:id="rId11"/>
    <sheet name="OFF-2025-008" sheetId="10" state="visible" r:id="rId12"/>
    <sheet name="OFF-2025-009" sheetId="11" state="visible" r:id="rId13"/>
    <sheet name="OFF-2025-010" sheetId="12" state="visible" r:id="rId14"/>
    <sheet name="OFF-2025-011" sheetId="13" state="visible" r:id="rId15"/>
    <sheet name="OFF-2025-012" sheetId="14" state="visible" r:id="rId16"/>
    <sheet name="OFF-2025-013" sheetId="15" state="visible" r:id="rId17"/>
    <sheet name="OFF-2025-014" sheetId="16" state="visible" r:id="rId18"/>
    <sheet name="OFF-2025-015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<sst xmlns="http://schemas.openxmlformats.org/spreadsheetml/2006/main" count="590" uniqueCount="141">
  <si>
    <t xml:space="preserve">SINTESI FATTURE OFFICINA  –  Q2 2025</t>
  </si>
  <si>
    <t xml:space="preserve">Fornitore: Autofficina Rossi &amp; C. Srl  |  P.IVA IT04872910283</t>
  </si>
  <si>
    <t xml:space="preserve">Tipo Intervento</t>
  </si>
  <si>
    <t xml:space="preserve">N° Fatture</t>
  </si>
  <si>
    <t xml:space="preserve">Tot. Manodopera (€)</t>
  </si>
  <si>
    <t xml:space="preserve">Tot. Ricambi (€)</t>
  </si>
  <si>
    <t xml:space="preserve">Imponibile (€)</t>
  </si>
  <si>
    <t xml:space="preserve">IVA 22% (€)</t>
  </si>
  <si>
    <t xml:space="preserve">Totale (€)</t>
  </si>
  <si>
    <t xml:space="preserve">Tagliando</t>
  </si>
  <si>
    <t xml:space="preserve">Revisione</t>
  </si>
  <si>
    <t xml:space="preserve">Manutenzione Eccezionale</t>
  </si>
  <si>
    <t xml:space="preserve">TOTALE COMPLESSIVO</t>
  </si>
  <si>
    <t xml:space="preserve">ELENCO FATTURE CON LINK AL DETTAGLIO</t>
  </si>
  <si>
    <t xml:space="preserve">N° Fattura</t>
  </si>
  <si>
    <t xml:space="preserve">Data</t>
  </si>
  <si>
    <t xml:space="preserve">Targa</t>
  </si>
  <si>
    <t xml:space="preserve">Modello</t>
  </si>
  <si>
    <t xml:space="preserve">Tipo</t>
  </si>
  <si>
    <t xml:space="preserve">Totale IVA incl. (€)</t>
  </si>
  <si>
    <t xml:space="preserve">OFF-2025-001</t>
  </si>
  <si>
    <t xml:space="preserve">FL789EF</t>
  </si>
  <si>
    <t xml:space="preserve">Ford Transit Custom 2.0 EcoBlue</t>
  </si>
  <si>
    <t xml:space="preserve">OFF-2025-002</t>
  </si>
  <si>
    <t xml:space="preserve">GH666KL</t>
  </si>
  <si>
    <t xml:space="preserve">Volkswagen Crafter 2.0 TDI</t>
  </si>
  <si>
    <t xml:space="preserve">OFF-2025-003</t>
  </si>
  <si>
    <t xml:space="preserve">TO606MN</t>
  </si>
  <si>
    <t xml:space="preserve">Honda CR-V 1.6 i-DTEC</t>
  </si>
  <si>
    <t xml:space="preserve">OFF-2025-004</t>
  </si>
  <si>
    <t xml:space="preserve">MM500WX</t>
  </si>
  <si>
    <t xml:space="preserve">Toyota Yaris 1.5 Hybrid</t>
  </si>
  <si>
    <t xml:space="preserve">OFF-2025-005</t>
  </si>
  <si>
    <t xml:space="preserve">RM222KL</t>
  </si>
  <si>
    <t xml:space="preserve">BMW 318d</t>
  </si>
  <si>
    <t xml:space="preserve">OFF-2025-006</t>
  </si>
  <si>
    <t xml:space="preserve">GH333EF</t>
  </si>
  <si>
    <t xml:space="preserve">Peugeot Boxer 2.2 BlueHDi</t>
  </si>
  <si>
    <t xml:space="preserve">OFF-2025-007</t>
  </si>
  <si>
    <t xml:space="preserve">MM400UV</t>
  </si>
  <si>
    <t xml:space="preserve">Renault Clio 1.5 dCi</t>
  </si>
  <si>
    <t xml:space="preserve">OFF-2025-008</t>
  </si>
  <si>
    <t xml:space="preserve">RM666ST</t>
  </si>
  <si>
    <t xml:space="preserve">Toyota Corolla 1.8 Hybrid</t>
  </si>
  <si>
    <t xml:space="preserve">OFF-2025-009</t>
  </si>
  <si>
    <t xml:space="preserve">TO010UV</t>
  </si>
  <si>
    <t xml:space="preserve">Nissan Qashqai 1.5 dCi</t>
  </si>
  <si>
    <t xml:space="preserve">OFF-2025-010</t>
  </si>
  <si>
    <t xml:space="preserve">GH111AB</t>
  </si>
  <si>
    <t xml:space="preserve">Mercedes-Benz Vito 114 CDI</t>
  </si>
  <si>
    <t xml:space="preserve">OFF-2025-011</t>
  </si>
  <si>
    <t xml:space="preserve">RM333MN</t>
  </si>
  <si>
    <t xml:space="preserve">Audi A4 2.0 TDI</t>
  </si>
  <si>
    <t xml:space="preserve">OFF-2025-012</t>
  </si>
  <si>
    <t xml:space="preserve">GH444GH</t>
  </si>
  <si>
    <t xml:space="preserve">Toyota Proace 2.0 D-4D</t>
  </si>
  <si>
    <t xml:space="preserve">OFF-2025-013</t>
  </si>
  <si>
    <t xml:space="preserve">GH555IJ</t>
  </si>
  <si>
    <t xml:space="preserve">Nissan NV300 1.6 dCi</t>
  </si>
  <si>
    <t xml:space="preserve">OFF-2025-014</t>
  </si>
  <si>
    <t xml:space="preserve">RM777UV</t>
  </si>
  <si>
    <t xml:space="preserve">Ford Mondeo 2.0 EcoBlue</t>
  </si>
  <si>
    <t xml:space="preserve">OFF-2025-015</t>
  </si>
  <si>
    <t xml:space="preserve">TO909ST</t>
  </si>
  <si>
    <t xml:space="preserve">Peugeot 3008 1.5 BlueHDi</t>
  </si>
  <si>
    <t xml:space="preserve">FATTURE OFFICINA – TAGLIANDI, REVISIONI E MANUTENZIONI  –  Q2 2025</t>
  </si>
  <si>
    <t xml:space="preserve">Autofficina Rossi &amp; C. Srl  |  P.IVA IT04872910283  |  Via dell'Industria 14, 35010 Vigonza (PD)</t>
  </si>
  <si>
    <t xml:space="preserve">Periodo: 1 Aprile 2025 – 30 Giugno 2025  |  Totale fatture: 15  |  IVA 22%</t>
  </si>
  <si>
    <t xml:space="preserve">Anno</t>
  </si>
  <si>
    <t xml:space="preserve">Cat.</t>
  </si>
  <si>
    <t xml:space="preserve">Descrizione Intervento</t>
  </si>
  <si>
    <t xml:space="preserve">Manodopera (€)</t>
  </si>
  <si>
    <t xml:space="preserve">Ricambi (€)</t>
  </si>
  <si>
    <t xml:space="preserve">Totale Fattura (€)</t>
  </si>
  <si>
    <t xml:space="preserve">Furgone</t>
  </si>
  <si>
    <t xml:space="preserve">Tagliando 30.000 km – olio, filtri aria/olio/carb., candele</t>
  </si>
  <si>
    <t xml:space="preserve">Auto</t>
  </si>
  <si>
    <t xml:space="preserve">Tagliando annuale – olio sintetico 5W-30, filtro olio, filtro aria</t>
  </si>
  <si>
    <t xml:space="preserve">Tagliando 60.000 km – olio, filtri, cinghia distribuzione</t>
  </si>
  <si>
    <t xml:space="preserve">Tagliando ordinario – cambio olio e filtri</t>
  </si>
  <si>
    <t xml:space="preserve">Revisione periodica ministeriale (4 anni)</t>
  </si>
  <si>
    <t xml:space="preserve">Revisione periodica – veicolo commerciale (2 anni)</t>
  </si>
  <si>
    <t xml:space="preserve">Sostituzione pneumatici (4 pz.) + equilibratura + convergenza</t>
  </si>
  <si>
    <t xml:space="preserve">Riparazione impianto frenante – sostituzione disco freno ant.</t>
  </si>
  <si>
    <t xml:space="preserve">Sostituzione ammortizzatori anteriori (coppia)</t>
  </si>
  <si>
    <t xml:space="preserve">Sostituzione cinghia servizi + tendicinghia</t>
  </si>
  <si>
    <t xml:space="preserve">Sostituzione parabrezza + incollaggio</t>
  </si>
  <si>
    <t xml:space="preserve">Riparazione sistema climatizzazione – ricarica gas R134a</t>
  </si>
  <si>
    <t xml:space="preserve">TOTALE COMPLESSIVO  (15 fatture)</t>
  </si>
  <si>
    <t xml:space="preserve">■  Verde = Tagliando ordinario</t>
  </si>
  <si>
    <t xml:space="preserve">■  Giallo = Revisione periodica</t>
  </si>
  <si>
    <t xml:space="preserve">■  Arancio = Manutenzione eccezionale</t>
  </si>
  <si>
    <t xml:space="preserve">Autofficina Rossi &amp; C. Srl</t>
  </si>
  <si>
    <t xml:space="preserve">P.IVA IT04872910283  –  Via dell'Industria 14, 35010 Vigonza (PD)</t>
  </si>
  <si>
    <t xml:space="preserve">N° Fattura:</t>
  </si>
  <si>
    <t xml:space="preserve">Data Fattura:</t>
  </si>
  <si>
    <t xml:space="preserve">04/04/2025</t>
  </si>
  <si>
    <t xml:space="preserve">Tipo Intervento:</t>
  </si>
  <si>
    <t xml:space="preserve">Targa Veicolo:</t>
  </si>
  <si>
    <t xml:space="preserve">Modello:</t>
  </si>
  <si>
    <t xml:space="preserve">Anno Immatric.:</t>
  </si>
  <si>
    <t xml:space="preserve">2022</t>
  </si>
  <si>
    <t xml:space="preserve">Descrizione</t>
  </si>
  <si>
    <t xml:space="preserve">Quantità</t>
  </si>
  <si>
    <t xml:space="preserve">Unità</t>
  </si>
  <si>
    <t xml:space="preserve">Importo (€)</t>
  </si>
  <si>
    <t xml:space="preserve">Manodopera – Tagliando 30.000 km – olio, filtri aria/olio/carb., candele</t>
  </si>
  <si>
    <t xml:space="preserve">ore/int.</t>
  </si>
  <si>
    <t xml:space="preserve">Ricambi e materiali di consumo</t>
  </si>
  <si>
    <t xml:space="preserve">a corpo</t>
  </si>
  <si>
    <t xml:space="preserve">Imponibile</t>
  </si>
  <si>
    <t xml:space="preserve">IVA 22%</t>
  </si>
  <si>
    <t xml:space="preserve">TOTALE FATTURA</t>
  </si>
  <si>
    <t xml:space="preserve">Pagamento a 30 gg data fattura – Bonifico bancario IBAN IT60 X054 2811 1010 0000 0123 456</t>
  </si>
  <si>
    <t xml:space="preserve">21/04/2025</t>
  </si>
  <si>
    <t xml:space="preserve">2020</t>
  </si>
  <si>
    <t xml:space="preserve">12/05/2025</t>
  </si>
  <si>
    <t xml:space="preserve">Manodopera – Tagliando annuale – olio sintetico 5W-30, filtro olio, filtro aria</t>
  </si>
  <si>
    <t xml:space="preserve">15/05/2025</t>
  </si>
  <si>
    <t xml:space="preserve">Manodopera – Tagliando 60.000 km – olio, filtri, cinghia distribuzione</t>
  </si>
  <si>
    <t xml:space="preserve">16/05/2025</t>
  </si>
  <si>
    <t xml:space="preserve">2021</t>
  </si>
  <si>
    <t xml:space="preserve">Manodopera – Tagliando ordinario – cambio olio e filtri</t>
  </si>
  <si>
    <t xml:space="preserve">17/05/2025</t>
  </si>
  <si>
    <t xml:space="preserve">20/05/2025</t>
  </si>
  <si>
    <t xml:space="preserve">Manodopera – Revisione periodica ministeriale (4 anni)</t>
  </si>
  <si>
    <t xml:space="preserve">26/05/2025</t>
  </si>
  <si>
    <t xml:space="preserve">Manodopera – Revisione periodica – veicolo commerciale (2 anni)</t>
  </si>
  <si>
    <t xml:space="preserve">30/05/2025</t>
  </si>
  <si>
    <t xml:space="preserve">05/06/2025</t>
  </si>
  <si>
    <t xml:space="preserve">Manodopera – Sostituzione pneumatici (4 pz.) + equilibratura + convergenza</t>
  </si>
  <si>
    <t xml:space="preserve">13/06/2025</t>
  </si>
  <si>
    <t xml:space="preserve">Manodopera – Riparazione impianto frenante – sostituzione disco freno ant.</t>
  </si>
  <si>
    <t xml:space="preserve">17/06/2025</t>
  </si>
  <si>
    <t xml:space="preserve">Manodopera – Sostituzione ammortizzatori anteriori (coppia)</t>
  </si>
  <si>
    <t xml:space="preserve">Manodopera – Sostituzione cinghia servizi + tendicinghia</t>
  </si>
  <si>
    <t xml:space="preserve">19/06/2025</t>
  </si>
  <si>
    <t xml:space="preserve">2019</t>
  </si>
  <si>
    <t xml:space="preserve">Manodopera – Sostituzione parabrezza + incollaggio</t>
  </si>
  <si>
    <t xml:space="preserve">30/06/2025</t>
  </si>
  <si>
    <t xml:space="preserve">Manodopera – Riparazione sistema climatizzazione – ricarica gas R134a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</si>
</sst>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"/>
    <numFmt numFmtId="167" formatCode="#,##0.00"/>
    <numFmt numFmtId="168" formatCode="dd/mm/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843C0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006100"/>
      <name val="Arial"/>
      <family val="0"/>
      <charset val="1"/>
    </font>
    <font>
      <i val="true"/>
      <sz val="9"/>
      <color rgb="FF7F6000"/>
      <name val="Arial"/>
      <family val="0"/>
      <charset val="1"/>
    </font>
    <font>
      <i val="true"/>
      <sz val="9"/>
      <color rgb="FF843C0C"/>
      <name val="Arial"/>
      <family val="0"/>
      <charset val="1"/>
    </font>
    <font>
      <i val="true"/>
      <sz val="9"/>
      <color rgb="FF444444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0B4"/>
        <bgColor rgb="FFBDD7EE"/>
      </patternFill>
    </fill>
    <fill>
      <patternFill patternType="solid">
        <fgColor rgb="FFFFE699"/>
        <bgColor rgb="FFFFF2CC"/>
      </patternFill>
    </fill>
    <fill>
      <patternFill patternType="solid">
        <fgColor rgb="FFF4B183"/>
        <bgColor rgb="FFFF99CC"/>
      </patternFill>
    </fill>
    <fill>
      <patternFill patternType="solid">
        <fgColor rgb="FFBDD7EE"/>
        <bgColor rgb="FFC6E0B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C6E0B4"/>
      <rgbColor rgb="FF808080"/>
      <rgbColor rgb="FF9999FF"/>
      <rgbColor rgb="FF993366"/>
      <rgbColor rgb="FFFFF2CC"/>
      <rgbColor rgb="FFFCE4D6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4B183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843C0C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36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v>6</v>
      </c>
      <c r="C5" s="6" t="n">
        <v>580</v>
      </c>
      <c r="D5" s="6" t="n">
        <v>715</v>
      </c>
      <c r="E5" s="6" t="n">
        <v>1295</v>
      </c>
      <c r="F5" s="6" t="n">
        <v>284.9</v>
      </c>
      <c r="G5" s="6" t="n">
        <v>1579.9</v>
      </c>
    </row>
    <row r="6" customFormat="false" ht="15" hidden="false" customHeight="false" outlineLevel="0" collapsed="false">
      <c r="A6" s="7" t="s">
        <v>10</v>
      </c>
      <c r="B6" s="8" t="n">
        <v>3</v>
      </c>
      <c r="C6" s="9" t="n">
        <v>150</v>
      </c>
      <c r="D6" s="9" t="n">
        <v>0</v>
      </c>
      <c r="E6" s="9" t="n">
        <v>150</v>
      </c>
      <c r="F6" s="9" t="n">
        <v>33</v>
      </c>
      <c r="G6" s="9" t="n">
        <v>183</v>
      </c>
    </row>
    <row r="7" customFormat="false" ht="23.85" hidden="false" customHeight="false" outlineLevel="0" collapsed="false">
      <c r="A7" s="10" t="s">
        <v>11</v>
      </c>
      <c r="B7" s="11" t="n">
        <v>6</v>
      </c>
      <c r="C7" s="12" t="n">
        <v>605</v>
      </c>
      <c r="D7" s="12" t="n">
        <v>1285</v>
      </c>
      <c r="E7" s="12" t="n">
        <v>1890</v>
      </c>
      <c r="F7" s="12" t="n">
        <v>415.8</v>
      </c>
      <c r="G7" s="12" t="n">
        <v>2305.8</v>
      </c>
    </row>
    <row r="8" customFormat="false" ht="15" hidden="false" customHeight="true" outlineLevel="0" collapsed="false">
      <c r="A8" s="13" t="s">
        <v>12</v>
      </c>
      <c r="B8" s="13"/>
      <c r="C8" s="14" t="n">
        <f aca="false">SUM(C5:C7)</f>
        <v>1335</v>
      </c>
      <c r="D8" s="14" t="n">
        <f aca="false">SUM(D5:D7)</f>
        <v>2000</v>
      </c>
      <c r="E8" s="14" t="n">
        <f aca="false">SUM(E5:E7)</f>
        <v>3335</v>
      </c>
      <c r="F8" s="14" t="n">
        <f aca="false">SUM(F5:F7)</f>
        <v>733.7</v>
      </c>
      <c r="G8" s="14" t="n">
        <f aca="false">SUM(G5:G7)</f>
        <v>4068.7</v>
      </c>
    </row>
    <row r="11" customFormat="false" ht="15" hidden="false" customHeight="true" outlineLevel="0" collapsed="false">
      <c r="A11" s="15" t="s">
        <v>13</v>
      </c>
      <c r="B11" s="15"/>
      <c r="C11" s="15"/>
      <c r="D11" s="15"/>
      <c r="E11" s="15"/>
      <c r="F11" s="15"/>
      <c r="G11" s="15"/>
    </row>
    <row r="12" customFormat="false" ht="15" hidden="false" customHeight="false" outlineLevel="0" collapsed="false">
      <c r="A12" s="3" t="s">
        <v>14</v>
      </c>
      <c r="B12" s="3" t="s">
        <v>15</v>
      </c>
      <c r="C12" s="3" t="s">
        <v>16</v>
      </c>
      <c r="D12" s="3" t="s">
        <v>17</v>
      </c>
      <c r="E12" s="3" t="s">
        <v>18</v>
      </c>
      <c r="F12" s="3" t="s">
        <v>6</v>
      </c>
      <c r="G12" s="3" t="s">
        <v>19</v>
      </c>
    </row>
    <row r="13" customFormat="false" ht="15" hidden="false" customHeight="false" outlineLevel="0" collapsed="false">
      <c r="A13" s="16" t="s">
        <v>20</v>
      </c>
      <c r="B13" s="17" t="n">
        <v>45751</v>
      </c>
      <c r="C13" s="16" t="s">
        <v>21</v>
      </c>
      <c r="D13" s="18" t="s">
        <v>22</v>
      </c>
      <c r="E13" s="16" t="s">
        <v>9</v>
      </c>
      <c r="F13" s="19" t="n">
        <v>215</v>
      </c>
      <c r="G13" s="19" t="n">
        <v>262.3</v>
      </c>
    </row>
    <row r="14" customFormat="false" ht="15" hidden="false" customHeight="false" outlineLevel="0" collapsed="false">
      <c r="A14" s="20" t="s">
        <v>23</v>
      </c>
      <c r="B14" s="21" t="n">
        <v>45768</v>
      </c>
      <c r="C14" s="20" t="s">
        <v>24</v>
      </c>
      <c r="D14" s="22" t="s">
        <v>25</v>
      </c>
      <c r="E14" s="20" t="s">
        <v>9</v>
      </c>
      <c r="F14" s="6" t="n">
        <v>215</v>
      </c>
      <c r="G14" s="6" t="n">
        <v>262.3</v>
      </c>
    </row>
    <row r="15" customFormat="false" ht="15" hidden="false" customHeight="false" outlineLevel="0" collapsed="false">
      <c r="A15" s="16" t="s">
        <v>26</v>
      </c>
      <c r="B15" s="17" t="n">
        <v>45789</v>
      </c>
      <c r="C15" s="16" t="s">
        <v>27</v>
      </c>
      <c r="D15" s="18" t="s">
        <v>28</v>
      </c>
      <c r="E15" s="16" t="s">
        <v>9</v>
      </c>
      <c r="F15" s="19" t="n">
        <v>155</v>
      </c>
      <c r="G15" s="19" t="n">
        <v>189.1</v>
      </c>
    </row>
    <row r="16" customFormat="false" ht="15" hidden="false" customHeight="false" outlineLevel="0" collapsed="false">
      <c r="A16" s="20" t="s">
        <v>29</v>
      </c>
      <c r="B16" s="21" t="n">
        <v>45792</v>
      </c>
      <c r="C16" s="20" t="s">
        <v>30</v>
      </c>
      <c r="D16" s="22" t="s">
        <v>31</v>
      </c>
      <c r="E16" s="20" t="s">
        <v>9</v>
      </c>
      <c r="F16" s="6" t="n">
        <v>350</v>
      </c>
      <c r="G16" s="6" t="n">
        <v>427</v>
      </c>
    </row>
    <row r="17" customFormat="false" ht="15" hidden="false" customHeight="false" outlineLevel="0" collapsed="false">
      <c r="A17" s="16" t="s">
        <v>32</v>
      </c>
      <c r="B17" s="17" t="n">
        <v>45793</v>
      </c>
      <c r="C17" s="16" t="s">
        <v>33</v>
      </c>
      <c r="D17" s="18" t="s">
        <v>34</v>
      </c>
      <c r="E17" s="16" t="s">
        <v>9</v>
      </c>
      <c r="F17" s="19" t="n">
        <v>145</v>
      </c>
      <c r="G17" s="19" t="n">
        <v>176.9</v>
      </c>
    </row>
    <row r="18" customFormat="false" ht="15" hidden="false" customHeight="false" outlineLevel="0" collapsed="false">
      <c r="A18" s="20" t="s">
        <v>35</v>
      </c>
      <c r="B18" s="21" t="n">
        <v>45794</v>
      </c>
      <c r="C18" s="20" t="s">
        <v>36</v>
      </c>
      <c r="D18" s="22" t="s">
        <v>37</v>
      </c>
      <c r="E18" s="20" t="s">
        <v>9</v>
      </c>
      <c r="F18" s="6" t="n">
        <v>215</v>
      </c>
      <c r="G18" s="6" t="n">
        <v>262.3</v>
      </c>
    </row>
    <row r="19" customFormat="false" ht="15" hidden="false" customHeight="false" outlineLevel="0" collapsed="false">
      <c r="A19" s="23" t="s">
        <v>38</v>
      </c>
      <c r="B19" s="24" t="n">
        <v>45797</v>
      </c>
      <c r="C19" s="23" t="s">
        <v>39</v>
      </c>
      <c r="D19" s="25" t="s">
        <v>40</v>
      </c>
      <c r="E19" s="23" t="s">
        <v>10</v>
      </c>
      <c r="F19" s="26" t="n">
        <v>40</v>
      </c>
      <c r="G19" s="26" t="n">
        <v>48.8</v>
      </c>
    </row>
    <row r="20" customFormat="false" ht="15" hidden="false" customHeight="false" outlineLevel="0" collapsed="false">
      <c r="A20" s="27" t="s">
        <v>41</v>
      </c>
      <c r="B20" s="28" t="n">
        <v>45803</v>
      </c>
      <c r="C20" s="27" t="s">
        <v>42</v>
      </c>
      <c r="D20" s="29" t="s">
        <v>43</v>
      </c>
      <c r="E20" s="27" t="s">
        <v>10</v>
      </c>
      <c r="F20" s="9" t="n">
        <v>55</v>
      </c>
      <c r="G20" s="9" t="n">
        <v>67.1</v>
      </c>
    </row>
    <row r="21" customFormat="false" ht="15" hidden="false" customHeight="false" outlineLevel="0" collapsed="false">
      <c r="A21" s="23" t="s">
        <v>44</v>
      </c>
      <c r="B21" s="24" t="n">
        <v>45807</v>
      </c>
      <c r="C21" s="23" t="s">
        <v>45</v>
      </c>
      <c r="D21" s="25" t="s">
        <v>46</v>
      </c>
      <c r="E21" s="23" t="s">
        <v>10</v>
      </c>
      <c r="F21" s="26" t="n">
        <v>55</v>
      </c>
      <c r="G21" s="26" t="n">
        <v>67.1</v>
      </c>
    </row>
    <row r="22" customFormat="false" ht="15" hidden="false" customHeight="false" outlineLevel="0" collapsed="false">
      <c r="A22" s="30" t="s">
        <v>47</v>
      </c>
      <c r="B22" s="31" t="n">
        <v>45813</v>
      </c>
      <c r="C22" s="30" t="s">
        <v>48</v>
      </c>
      <c r="D22" s="32" t="s">
        <v>49</v>
      </c>
      <c r="E22" s="30" t="s">
        <v>11</v>
      </c>
      <c r="F22" s="12" t="n">
        <v>500</v>
      </c>
      <c r="G22" s="12" t="n">
        <v>610</v>
      </c>
    </row>
    <row r="23" customFormat="false" ht="15" hidden="false" customHeight="false" outlineLevel="0" collapsed="false">
      <c r="A23" s="33" t="s">
        <v>50</v>
      </c>
      <c r="B23" s="34" t="n">
        <v>45821</v>
      </c>
      <c r="C23" s="33" t="s">
        <v>51</v>
      </c>
      <c r="D23" s="35" t="s">
        <v>52</v>
      </c>
      <c r="E23" s="33" t="s">
        <v>11</v>
      </c>
      <c r="F23" s="36" t="n">
        <v>295</v>
      </c>
      <c r="G23" s="36" t="n">
        <v>359.9</v>
      </c>
    </row>
    <row r="24" customFormat="false" ht="15" hidden="false" customHeight="false" outlineLevel="0" collapsed="false">
      <c r="A24" s="30" t="s">
        <v>53</v>
      </c>
      <c r="B24" s="31" t="n">
        <v>45825</v>
      </c>
      <c r="C24" s="30" t="s">
        <v>54</v>
      </c>
      <c r="D24" s="32" t="s">
        <v>55</v>
      </c>
      <c r="E24" s="30" t="s">
        <v>11</v>
      </c>
      <c r="F24" s="12" t="n">
        <v>370</v>
      </c>
      <c r="G24" s="12" t="n">
        <v>451.4</v>
      </c>
    </row>
    <row r="25" customFormat="false" ht="15" hidden="false" customHeight="false" outlineLevel="0" collapsed="false">
      <c r="A25" s="33" t="s">
        <v>56</v>
      </c>
      <c r="B25" s="34" t="n">
        <v>45825</v>
      </c>
      <c r="C25" s="33" t="s">
        <v>57</v>
      </c>
      <c r="D25" s="35" t="s">
        <v>58</v>
      </c>
      <c r="E25" s="33" t="s">
        <v>11</v>
      </c>
      <c r="F25" s="36" t="n">
        <v>195</v>
      </c>
      <c r="G25" s="36" t="n">
        <v>237.9</v>
      </c>
    </row>
    <row r="26" customFormat="false" ht="15" hidden="false" customHeight="false" outlineLevel="0" collapsed="false">
      <c r="A26" s="30" t="s">
        <v>59</v>
      </c>
      <c r="B26" s="31" t="n">
        <v>45827</v>
      </c>
      <c r="C26" s="30" t="s">
        <v>60</v>
      </c>
      <c r="D26" s="32" t="s">
        <v>61</v>
      </c>
      <c r="E26" s="30" t="s">
        <v>11</v>
      </c>
      <c r="F26" s="12" t="n">
        <v>360</v>
      </c>
      <c r="G26" s="12" t="n">
        <v>439.2</v>
      </c>
    </row>
    <row r="27" customFormat="false" ht="15" hidden="false" customHeight="false" outlineLevel="0" collapsed="false">
      <c r="A27" s="33" t="s">
        <v>62</v>
      </c>
      <c r="B27" s="34" t="n">
        <v>45838</v>
      </c>
      <c r="C27" s="33" t="s">
        <v>63</v>
      </c>
      <c r="D27" s="35" t="s">
        <v>64</v>
      </c>
      <c r="E27" s="33" t="s">
        <v>11</v>
      </c>
      <c r="F27" s="36" t="n">
        <v>170</v>
      </c>
      <c r="G27" s="36" t="n">
        <v>207.4</v>
      </c>
    </row>
  </sheetData>
  <mergeCells count="4">
    <mergeCell ref="A1:F1"/>
    <mergeCell ref="A2:F2"/>
    <mergeCell ref="A8:B8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34"/>
    <col collapsed="false" customWidth="true" hidden="false" outlineLevel="0" max="6" min="6" style="0" width="7"/>
    <col collapsed="false" customWidth="true" hidden="false" outlineLevel="0" max="7" min="7" style="0" width="10"/>
    <col collapsed="false" customWidth="true" hidden="false" outlineLevel="0" max="8" min="8" style="0" width="46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8"/>
  </cols>
  <sheetData>
    <row r="1" customFormat="false" ht="30" hidden="false" customHeight="true" outlineLevel="0" collapsed="false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66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8" hidden="false" customHeight="true" outlineLevel="0" collapsed="false">
      <c r="A3" s="37" t="s">
        <v>67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5" customFormat="false" ht="36" hidden="false" customHeight="true" outlineLevel="0" collapsed="false">
      <c r="A5" s="3" t="s">
        <v>14</v>
      </c>
      <c r="B5" s="3" t="s">
        <v>15</v>
      </c>
      <c r="C5" s="3" t="s">
        <v>2</v>
      </c>
      <c r="D5" s="3" t="s">
        <v>16</v>
      </c>
      <c r="E5" s="3" t="s">
        <v>17</v>
      </c>
      <c r="F5" s="3" t="s">
        <v>68</v>
      </c>
      <c r="G5" s="3" t="s">
        <v>69</v>
      </c>
      <c r="H5" s="3" t="s">
        <v>70</v>
      </c>
      <c r="I5" s="3" t="s">
        <v>71</v>
      </c>
      <c r="J5" s="3" t="s">
        <v>72</v>
      </c>
      <c r="K5" s="3" t="s">
        <v>6</v>
      </c>
      <c r="L5" s="3" t="s">
        <v>7</v>
      </c>
      <c r="M5" s="3" t="s">
        <v>73</v>
      </c>
    </row>
    <row r="6" customFormat="false" ht="31.5" hidden="false" customHeight="true" outlineLevel="0" collapsed="false">
      <c r="A6" s="20" t="s">
        <v>20</v>
      </c>
      <c r="B6" s="21" t="n">
        <v>45751</v>
      </c>
      <c r="C6" s="20" t="s">
        <v>9</v>
      </c>
      <c r="D6" s="20" t="s">
        <v>21</v>
      </c>
      <c r="E6" s="22" t="s">
        <v>22</v>
      </c>
      <c r="F6" s="5" t="n">
        <v>2022</v>
      </c>
      <c r="G6" s="20" t="s">
        <v>74</v>
      </c>
      <c r="H6" s="22" t="s">
        <v>75</v>
      </c>
      <c r="I6" s="6" t="n">
        <v>95</v>
      </c>
      <c r="J6" s="6" t="n">
        <v>120</v>
      </c>
      <c r="K6" s="6" t="n">
        <f aca="false">I6+J6</f>
        <v>215</v>
      </c>
      <c r="L6" s="6" t="n">
        <f aca="false">K6*0.22</f>
        <v>47.3</v>
      </c>
      <c r="M6" s="6" t="n">
        <f aca="false">K6+L6</f>
        <v>262.3</v>
      </c>
    </row>
    <row r="7" customFormat="false" ht="31.5" hidden="false" customHeight="true" outlineLevel="0" collapsed="false">
      <c r="A7" s="16" t="s">
        <v>23</v>
      </c>
      <c r="B7" s="17" t="n">
        <v>45768</v>
      </c>
      <c r="C7" s="16" t="s">
        <v>9</v>
      </c>
      <c r="D7" s="16" t="s">
        <v>24</v>
      </c>
      <c r="E7" s="18" t="s">
        <v>25</v>
      </c>
      <c r="F7" s="38" t="n">
        <v>2020</v>
      </c>
      <c r="G7" s="16" t="s">
        <v>74</v>
      </c>
      <c r="H7" s="18" t="s">
        <v>75</v>
      </c>
      <c r="I7" s="19" t="n">
        <v>95</v>
      </c>
      <c r="J7" s="19" t="n">
        <v>120</v>
      </c>
      <c r="K7" s="19" t="n">
        <f aca="false">I7+J7</f>
        <v>215</v>
      </c>
      <c r="L7" s="19" t="n">
        <f aca="false">K7*0.22</f>
        <v>47.3</v>
      </c>
      <c r="M7" s="19" t="n">
        <f aca="false">K7+L7</f>
        <v>262.3</v>
      </c>
    </row>
    <row r="8" customFormat="false" ht="31.5" hidden="false" customHeight="true" outlineLevel="0" collapsed="false">
      <c r="A8" s="20" t="s">
        <v>26</v>
      </c>
      <c r="B8" s="21" t="n">
        <v>45789</v>
      </c>
      <c r="C8" s="20" t="s">
        <v>9</v>
      </c>
      <c r="D8" s="20" t="s">
        <v>27</v>
      </c>
      <c r="E8" s="22" t="s">
        <v>28</v>
      </c>
      <c r="F8" s="5" t="n">
        <v>2022</v>
      </c>
      <c r="G8" s="20" t="s">
        <v>76</v>
      </c>
      <c r="H8" s="22" t="s">
        <v>77</v>
      </c>
      <c r="I8" s="6" t="n">
        <v>75</v>
      </c>
      <c r="J8" s="6" t="n">
        <v>80</v>
      </c>
      <c r="K8" s="6" t="n">
        <f aca="false">I8+J8</f>
        <v>155</v>
      </c>
      <c r="L8" s="6" t="n">
        <f aca="false">K8*0.22</f>
        <v>34.1</v>
      </c>
      <c r="M8" s="6" t="n">
        <f aca="false">K8+L8</f>
        <v>189.1</v>
      </c>
    </row>
    <row r="9" customFormat="false" ht="31.5" hidden="false" customHeight="true" outlineLevel="0" collapsed="false">
      <c r="A9" s="16" t="s">
        <v>29</v>
      </c>
      <c r="B9" s="17" t="n">
        <v>45792</v>
      </c>
      <c r="C9" s="16" t="s">
        <v>9</v>
      </c>
      <c r="D9" s="16" t="s">
        <v>30</v>
      </c>
      <c r="E9" s="18" t="s">
        <v>31</v>
      </c>
      <c r="F9" s="38" t="n">
        <v>2022</v>
      </c>
      <c r="G9" s="16" t="s">
        <v>76</v>
      </c>
      <c r="H9" s="18" t="s">
        <v>78</v>
      </c>
      <c r="I9" s="19" t="n">
        <v>140</v>
      </c>
      <c r="J9" s="19" t="n">
        <v>210</v>
      </c>
      <c r="K9" s="19" t="n">
        <f aca="false">I9+J9</f>
        <v>350</v>
      </c>
      <c r="L9" s="19" t="n">
        <f aca="false">K9*0.22</f>
        <v>77</v>
      </c>
      <c r="M9" s="19" t="n">
        <f aca="false">K9+L9</f>
        <v>427</v>
      </c>
    </row>
    <row r="10" customFormat="false" ht="31.5" hidden="false" customHeight="true" outlineLevel="0" collapsed="false">
      <c r="A10" s="20" t="s">
        <v>32</v>
      </c>
      <c r="B10" s="21" t="n">
        <v>45793</v>
      </c>
      <c r="C10" s="20" t="s">
        <v>9</v>
      </c>
      <c r="D10" s="20" t="s">
        <v>33</v>
      </c>
      <c r="E10" s="22" t="s">
        <v>34</v>
      </c>
      <c r="F10" s="5" t="n">
        <v>2021</v>
      </c>
      <c r="G10" s="20" t="s">
        <v>76</v>
      </c>
      <c r="H10" s="22" t="s">
        <v>79</v>
      </c>
      <c r="I10" s="6" t="n">
        <v>80</v>
      </c>
      <c r="J10" s="6" t="n">
        <v>65</v>
      </c>
      <c r="K10" s="6" t="n">
        <f aca="false">I10+J10</f>
        <v>145</v>
      </c>
      <c r="L10" s="6" t="n">
        <f aca="false">K10*0.22</f>
        <v>31.9</v>
      </c>
      <c r="M10" s="6" t="n">
        <f aca="false">K10+L10</f>
        <v>176.9</v>
      </c>
    </row>
    <row r="11" customFormat="false" ht="31.5" hidden="false" customHeight="true" outlineLevel="0" collapsed="false">
      <c r="A11" s="16" t="s">
        <v>35</v>
      </c>
      <c r="B11" s="17" t="n">
        <v>45794</v>
      </c>
      <c r="C11" s="16" t="s">
        <v>9</v>
      </c>
      <c r="D11" s="16" t="s">
        <v>36</v>
      </c>
      <c r="E11" s="18" t="s">
        <v>37</v>
      </c>
      <c r="F11" s="38" t="n">
        <v>2020</v>
      </c>
      <c r="G11" s="16" t="s">
        <v>74</v>
      </c>
      <c r="H11" s="18" t="s">
        <v>75</v>
      </c>
      <c r="I11" s="19" t="n">
        <v>95</v>
      </c>
      <c r="J11" s="19" t="n">
        <v>120</v>
      </c>
      <c r="K11" s="19" t="n">
        <f aca="false">I11+J11</f>
        <v>215</v>
      </c>
      <c r="L11" s="19" t="n">
        <f aca="false">K11*0.22</f>
        <v>47.3</v>
      </c>
      <c r="M11" s="19" t="n">
        <f aca="false">K11+L11</f>
        <v>262.3</v>
      </c>
    </row>
    <row r="12" customFormat="false" ht="31.5" hidden="false" customHeight="true" outlineLevel="0" collapsed="false">
      <c r="A12" s="27" t="s">
        <v>38</v>
      </c>
      <c r="B12" s="28" t="n">
        <v>45797</v>
      </c>
      <c r="C12" s="27" t="s">
        <v>10</v>
      </c>
      <c r="D12" s="27" t="s">
        <v>39</v>
      </c>
      <c r="E12" s="29" t="s">
        <v>40</v>
      </c>
      <c r="F12" s="8" t="n">
        <v>2021</v>
      </c>
      <c r="G12" s="27" t="s">
        <v>76</v>
      </c>
      <c r="H12" s="29" t="s">
        <v>80</v>
      </c>
      <c r="I12" s="9" t="n">
        <v>40</v>
      </c>
      <c r="J12" s="9" t="n">
        <v>0</v>
      </c>
      <c r="K12" s="9" t="n">
        <f aca="false">I12+J12</f>
        <v>40</v>
      </c>
      <c r="L12" s="9" t="n">
        <f aca="false">K12*0.22</f>
        <v>8.8</v>
      </c>
      <c r="M12" s="9" t="n">
        <f aca="false">K12+L12</f>
        <v>48.8</v>
      </c>
    </row>
    <row r="13" customFormat="false" ht="31.5" hidden="false" customHeight="true" outlineLevel="0" collapsed="false">
      <c r="A13" s="23" t="s">
        <v>41</v>
      </c>
      <c r="B13" s="24" t="n">
        <v>45803</v>
      </c>
      <c r="C13" s="23" t="s">
        <v>10</v>
      </c>
      <c r="D13" s="23" t="s">
        <v>42</v>
      </c>
      <c r="E13" s="25" t="s">
        <v>43</v>
      </c>
      <c r="F13" s="39" t="n">
        <v>2022</v>
      </c>
      <c r="G13" s="23" t="s">
        <v>76</v>
      </c>
      <c r="H13" s="25" t="s">
        <v>81</v>
      </c>
      <c r="I13" s="26" t="n">
        <v>55</v>
      </c>
      <c r="J13" s="26" t="n">
        <v>0</v>
      </c>
      <c r="K13" s="26" t="n">
        <f aca="false">I13+J13</f>
        <v>55</v>
      </c>
      <c r="L13" s="26" t="n">
        <f aca="false">K13*0.22</f>
        <v>12.1</v>
      </c>
      <c r="M13" s="26" t="n">
        <f aca="false">K13+L13</f>
        <v>67.1</v>
      </c>
    </row>
    <row r="14" customFormat="false" ht="31.5" hidden="false" customHeight="true" outlineLevel="0" collapsed="false">
      <c r="A14" s="27" t="s">
        <v>44</v>
      </c>
      <c r="B14" s="28" t="n">
        <v>45807</v>
      </c>
      <c r="C14" s="27" t="s">
        <v>10</v>
      </c>
      <c r="D14" s="27" t="s">
        <v>45</v>
      </c>
      <c r="E14" s="29" t="s">
        <v>46</v>
      </c>
      <c r="F14" s="8" t="n">
        <v>2021</v>
      </c>
      <c r="G14" s="27" t="s">
        <v>76</v>
      </c>
      <c r="H14" s="29" t="s">
        <v>81</v>
      </c>
      <c r="I14" s="9" t="n">
        <v>55</v>
      </c>
      <c r="J14" s="9" t="n">
        <v>0</v>
      </c>
      <c r="K14" s="9" t="n">
        <f aca="false">I14+J14</f>
        <v>55</v>
      </c>
      <c r="L14" s="9" t="n">
        <f aca="false">K14*0.22</f>
        <v>12.1</v>
      </c>
      <c r="M14" s="9" t="n">
        <f aca="false">K14+L14</f>
        <v>67.1</v>
      </c>
    </row>
    <row r="15" customFormat="false" ht="31.5" hidden="false" customHeight="true" outlineLevel="0" collapsed="false">
      <c r="A15" s="30" t="s">
        <v>47</v>
      </c>
      <c r="B15" s="31" t="n">
        <v>45813</v>
      </c>
      <c r="C15" s="30" t="s">
        <v>11</v>
      </c>
      <c r="D15" s="30" t="s">
        <v>48</v>
      </c>
      <c r="E15" s="32" t="s">
        <v>49</v>
      </c>
      <c r="F15" s="11" t="n">
        <v>2021</v>
      </c>
      <c r="G15" s="30" t="s">
        <v>74</v>
      </c>
      <c r="H15" s="32" t="s">
        <v>82</v>
      </c>
      <c r="I15" s="12" t="n">
        <v>80</v>
      </c>
      <c r="J15" s="12" t="n">
        <v>420</v>
      </c>
      <c r="K15" s="12" t="n">
        <f aca="false">I15+J15</f>
        <v>500</v>
      </c>
      <c r="L15" s="12" t="n">
        <f aca="false">K15*0.22</f>
        <v>110</v>
      </c>
      <c r="M15" s="12" t="n">
        <f aca="false">K15+L15</f>
        <v>610</v>
      </c>
    </row>
    <row r="16" customFormat="false" ht="31.5" hidden="false" customHeight="true" outlineLevel="0" collapsed="false">
      <c r="A16" s="33" t="s">
        <v>50</v>
      </c>
      <c r="B16" s="34" t="n">
        <v>45821</v>
      </c>
      <c r="C16" s="33" t="s">
        <v>11</v>
      </c>
      <c r="D16" s="33" t="s">
        <v>51</v>
      </c>
      <c r="E16" s="35" t="s">
        <v>52</v>
      </c>
      <c r="F16" s="40" t="n">
        <v>2020</v>
      </c>
      <c r="G16" s="33" t="s">
        <v>76</v>
      </c>
      <c r="H16" s="35" t="s">
        <v>83</v>
      </c>
      <c r="I16" s="36" t="n">
        <v>120</v>
      </c>
      <c r="J16" s="36" t="n">
        <v>175</v>
      </c>
      <c r="K16" s="36" t="n">
        <f aca="false">I16+J16</f>
        <v>295</v>
      </c>
      <c r="L16" s="36" t="n">
        <f aca="false">K16*0.22</f>
        <v>64.9</v>
      </c>
      <c r="M16" s="36" t="n">
        <f aca="false">K16+L16</f>
        <v>359.9</v>
      </c>
    </row>
    <row r="17" customFormat="false" ht="31.5" hidden="false" customHeight="true" outlineLevel="0" collapsed="false">
      <c r="A17" s="30" t="s">
        <v>53</v>
      </c>
      <c r="B17" s="31" t="n">
        <v>45825</v>
      </c>
      <c r="C17" s="30" t="s">
        <v>11</v>
      </c>
      <c r="D17" s="30" t="s">
        <v>54</v>
      </c>
      <c r="E17" s="32" t="s">
        <v>55</v>
      </c>
      <c r="F17" s="11" t="n">
        <v>2022</v>
      </c>
      <c r="G17" s="30" t="s">
        <v>74</v>
      </c>
      <c r="H17" s="32" t="s">
        <v>84</v>
      </c>
      <c r="I17" s="12" t="n">
        <v>130</v>
      </c>
      <c r="J17" s="12" t="n">
        <v>240</v>
      </c>
      <c r="K17" s="12" t="n">
        <f aca="false">I17+J17</f>
        <v>370</v>
      </c>
      <c r="L17" s="12" t="n">
        <f aca="false">K17*0.22</f>
        <v>81.4</v>
      </c>
      <c r="M17" s="12" t="n">
        <f aca="false">K17+L17</f>
        <v>451.4</v>
      </c>
    </row>
    <row r="18" customFormat="false" ht="31.5" hidden="false" customHeight="true" outlineLevel="0" collapsed="false">
      <c r="A18" s="33" t="s">
        <v>56</v>
      </c>
      <c r="B18" s="34" t="n">
        <v>45825</v>
      </c>
      <c r="C18" s="33" t="s">
        <v>11</v>
      </c>
      <c r="D18" s="33" t="s">
        <v>57</v>
      </c>
      <c r="E18" s="35" t="s">
        <v>58</v>
      </c>
      <c r="F18" s="40" t="n">
        <v>2021</v>
      </c>
      <c r="G18" s="33" t="s">
        <v>74</v>
      </c>
      <c r="H18" s="35" t="s">
        <v>85</v>
      </c>
      <c r="I18" s="36" t="n">
        <v>100</v>
      </c>
      <c r="J18" s="36" t="n">
        <v>95</v>
      </c>
      <c r="K18" s="36" t="n">
        <f aca="false">I18+J18</f>
        <v>195</v>
      </c>
      <c r="L18" s="36" t="n">
        <f aca="false">K18*0.22</f>
        <v>42.9</v>
      </c>
      <c r="M18" s="36" t="n">
        <f aca="false">K18+L18</f>
        <v>237.9</v>
      </c>
    </row>
    <row r="19" customFormat="false" ht="31.5" hidden="false" customHeight="true" outlineLevel="0" collapsed="false">
      <c r="A19" s="30" t="s">
        <v>59</v>
      </c>
      <c r="B19" s="31" t="n">
        <v>45827</v>
      </c>
      <c r="C19" s="30" t="s">
        <v>11</v>
      </c>
      <c r="D19" s="30" t="s">
        <v>60</v>
      </c>
      <c r="E19" s="32" t="s">
        <v>61</v>
      </c>
      <c r="F19" s="11" t="n">
        <v>2019</v>
      </c>
      <c r="G19" s="30" t="s">
        <v>76</v>
      </c>
      <c r="H19" s="32" t="s">
        <v>86</v>
      </c>
      <c r="I19" s="12" t="n">
        <v>80</v>
      </c>
      <c r="J19" s="12" t="n">
        <v>280</v>
      </c>
      <c r="K19" s="12" t="n">
        <f aca="false">I19+J19</f>
        <v>360</v>
      </c>
      <c r="L19" s="12" t="n">
        <f aca="false">K19*0.22</f>
        <v>79.2</v>
      </c>
      <c r="M19" s="12" t="n">
        <f aca="false">K19+L19</f>
        <v>439.2</v>
      </c>
    </row>
    <row r="20" customFormat="false" ht="31.5" hidden="false" customHeight="true" outlineLevel="0" collapsed="false">
      <c r="A20" s="33" t="s">
        <v>62</v>
      </c>
      <c r="B20" s="34" t="n">
        <v>45838</v>
      </c>
      <c r="C20" s="33" t="s">
        <v>11</v>
      </c>
      <c r="D20" s="33" t="s">
        <v>63</v>
      </c>
      <c r="E20" s="35" t="s">
        <v>64</v>
      </c>
      <c r="F20" s="40" t="n">
        <v>2022</v>
      </c>
      <c r="G20" s="33" t="s">
        <v>76</v>
      </c>
      <c r="H20" s="35" t="s">
        <v>87</v>
      </c>
      <c r="I20" s="36" t="n">
        <v>95</v>
      </c>
      <c r="J20" s="36" t="n">
        <v>75</v>
      </c>
      <c r="K20" s="36" t="n">
        <f aca="false">I20+J20</f>
        <v>170</v>
      </c>
      <c r="L20" s="36" t="n">
        <f aca="false">K20*0.22</f>
        <v>37.4</v>
      </c>
      <c r="M20" s="36" t="n">
        <f aca="false">K20+L20</f>
        <v>207.4</v>
      </c>
    </row>
    <row r="21" customFormat="false" ht="15" hidden="false" customHeight="true" outlineLevel="0" collapsed="false">
      <c r="A21" s="41" t="s">
        <v>88</v>
      </c>
      <c r="B21" s="41"/>
      <c r="C21" s="41"/>
      <c r="D21" s="41"/>
      <c r="E21" s="41"/>
      <c r="F21" s="41"/>
      <c r="G21" s="41"/>
      <c r="H21" s="41"/>
      <c r="I21" s="42" t="n">
        <f aca="false">SUM(I6:I20)</f>
        <v>1335</v>
      </c>
      <c r="J21" s="42" t="n">
        <f aca="false">SUM(J6:J20)</f>
        <v>2000</v>
      </c>
      <c r="K21" s="42" t="n">
        <f aca="false">SUM(K6:K20)</f>
        <v>3335</v>
      </c>
      <c r="L21" s="42" t="n">
        <f aca="false">SUM(L6:L20)</f>
        <v>733.7</v>
      </c>
      <c r="M21" s="42" t="n">
        <f aca="false">SUM(M6:M20)</f>
        <v>4068.7</v>
      </c>
    </row>
    <row r="23" customFormat="false" ht="15" hidden="false" customHeight="false" outlineLevel="0" collapsed="false">
      <c r="A23" s="43" t="s">
        <v>89</v>
      </c>
      <c r="B23" s="43"/>
      <c r="C23" s="43"/>
      <c r="D23" s="44" t="s">
        <v>90</v>
      </c>
      <c r="E23" s="44"/>
      <c r="F23" s="44"/>
      <c r="G23" s="45" t="s">
        <v>91</v>
      </c>
      <c r="H23" s="45"/>
      <c r="I23" s="45"/>
    </row>
  </sheetData>
  <mergeCells count="7">
    <mergeCell ref="A1:K1"/>
    <mergeCell ref="A2:K2"/>
    <mergeCell ref="A3:K3"/>
    <mergeCell ref="A21:H21"/>
    <mergeCell ref="A23:C23"/>
    <mergeCell ref="D23:F23"/>
    <mergeCell ref="G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0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7.35" hidden="false" customHeight="true" outlineLevel="0" collapsed="false">
      <c r="A1" s="46" t="s">
        <v>92</v>
      </c>
      <c r="B1" s="46"/>
      <c r="C1" s="46"/>
      <c r="D1" s="46"/>
      <c r="E1" s="46"/>
    </row>
    <row r="2" customFormat="false" ht="15" hidden="false" customHeight="true" outlineLevel="0" collapsed="false">
      <c r="A2" s="47" t="s">
        <v>93</v>
      </c>
      <c r="B2" s="47"/>
      <c r="C2" s="47"/>
      <c r="D2" s="47"/>
      <c r="E2" s="47"/>
    </row>
    <row r="4" customFormat="false" ht="18" hidden="false" customHeight="true" outlineLevel="0" collapsed="false">
      <c r="A4" s="48" t="s">
        <v>94</v>
      </c>
      <c r="B4" s="49" t="s">
        <v>20</v>
      </c>
      <c r="C4" s="49"/>
      <c r="D4" s="49"/>
      <c r="E4" s="49"/>
    </row>
    <row r="5" customFormat="false" ht="18" hidden="false" customHeight="true" outlineLevel="0" collapsed="false">
      <c r="A5" s="48" t="s">
        <v>95</v>
      </c>
      <c r="B5" s="49" t="s">
        <v>96</v>
      </c>
      <c r="C5" s="49"/>
      <c r="D5" s="49"/>
      <c r="E5" s="49"/>
    </row>
    <row r="6" customFormat="false" ht="18" hidden="false" customHeight="true" outlineLevel="0" collapsed="false">
      <c r="A6" s="48" t="s">
        <v>97</v>
      </c>
      <c r="B6" s="49" t="s">
        <v>9</v>
      </c>
      <c r="C6" s="49"/>
      <c r="D6" s="49"/>
      <c r="E6" s="49"/>
    </row>
    <row r="7" customFormat="false" ht="18" hidden="false" customHeight="true" outlineLevel="0" collapsed="false">
      <c r="A7" s="48" t="s">
        <v>98</v>
      </c>
      <c r="B7" s="49" t="s">
        <v>21</v>
      </c>
      <c r="C7" s="49"/>
      <c r="D7" s="49"/>
      <c r="E7" s="49"/>
    </row>
    <row r="8" customFormat="false" ht="18" hidden="false" customHeight="true" outlineLevel="0" collapsed="false">
      <c r="A8" s="48" t="s">
        <v>99</v>
      </c>
      <c r="B8" s="49" t="s">
        <v>22</v>
      </c>
      <c r="C8" s="49"/>
      <c r="D8" s="49"/>
      <c r="E8" s="49"/>
    </row>
    <row r="9" customFormat="false" ht="18" hidden="false" customHeight="true" outlineLevel="0" collapsed="false">
      <c r="A9" s="48" t="s">
        <v>100</v>
      </c>
      <c r="B9" s="49" t="s">
        <v>101</v>
      </c>
      <c r="C9" s="49"/>
      <c r="D9" s="49"/>
      <c r="E9" s="49"/>
    </row>
    <row r="11" customFormat="false" ht="21.75" hidden="false" customHeight="true" outlineLevel="0" collapsed="false">
      <c r="A11" s="3" t="s">
        <v>102</v>
      </c>
      <c r="B11" s="3" t="s">
        <v>103</v>
      </c>
      <c r="C11" s="3" t="s">
        <v>104</v>
      </c>
      <c r="D11" s="3" t="s">
        <v>105</v>
      </c>
      <c r="E11" s="3" t="s">
        <v>8</v>
      </c>
    </row>
    <row r="12" customFormat="false" ht="23.85" hidden="false" customHeight="false" outlineLevel="0" collapsed="false">
      <c r="A12" s="22" t="s">
        <v>106</v>
      </c>
      <c r="B12" s="5" t="n">
        <v>1</v>
      </c>
      <c r="C12" s="20" t="s">
        <v>107</v>
      </c>
      <c r="D12" s="6" t="n">
        <v>95</v>
      </c>
      <c r="E12" s="6" t="n">
        <v>95</v>
      </c>
    </row>
    <row r="13" customFormat="false" ht="15" hidden="false" customHeight="false" outlineLevel="0" collapsed="false">
      <c r="A13" s="18" t="s">
        <v>108</v>
      </c>
      <c r="B13" s="38" t="n">
        <v>1</v>
      </c>
      <c r="C13" s="16" t="s">
        <v>109</v>
      </c>
      <c r="D13" s="19" t="n">
        <v>120</v>
      </c>
      <c r="E13" s="19" t="n">
        <v>120</v>
      </c>
    </row>
    <row r="15" customFormat="false" ht="15" hidden="false" customHeight="false" outlineLevel="0" collapsed="false">
      <c r="A15" s="50"/>
      <c r="B15" s="50"/>
      <c r="C15" s="50"/>
      <c r="D15" s="51" t="s">
        <v>110</v>
      </c>
      <c r="E15" s="42" t="n">
        <f aca="false">SUM(E12:E13)</f>
        <v>215</v>
      </c>
    </row>
    <row r="16" customFormat="false" ht="15" hidden="false" customHeight="false" outlineLevel="0" collapsed="false">
      <c r="A16" s="50"/>
      <c r="B16" s="50"/>
      <c r="C16" s="50"/>
      <c r="D16" s="51" t="s">
        <v>111</v>
      </c>
      <c r="E16" s="42" t="n">
        <f aca="false">E15*0.22</f>
        <v>47.3</v>
      </c>
    </row>
    <row r="17" customFormat="false" ht="15" hidden="false" customHeight="false" outlineLevel="0" collapsed="false">
      <c r="A17" s="50"/>
      <c r="B17" s="50"/>
      <c r="C17" s="50"/>
      <c r="D17" s="52" t="s">
        <v>112</v>
      </c>
      <c r="E17" s="14" t="n">
        <f aca="false">E15+E16</f>
        <v>262.3</v>
      </c>
    </row>
    <row r="20" customFormat="false" ht="15" hidden="false" customHeight="true" outlineLevel="0" collapsed="false">
      <c r="A20" s="53" t="s">
        <v>113</v>
      </c>
      <c r="B20" s="53"/>
      <c r="C20" s="53"/>
      <c r="D20" s="53"/>
      <c r="E20" s="53"/>
    </row>
  </sheetData>
  <mergeCells count="9">
    <mergeCell ref="A1:E1"/>
    <mergeCell ref="A2:E2"/>
    <mergeCell ref="B4:E4"/>
    <mergeCell ref="B5:E5"/>
    <mergeCell ref="B6:E6"/>
    <mergeCell ref="B7:E7"/>
    <mergeCell ref="B8:E8"/>
    <mergeCell ref="B9:E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0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7.35" hidden="false" customHeight="true" outlineLevel="0" collapsed="false">
      <c r="A1" s="46" t="s">
        <v>92</v>
      </c>
      <c r="B1" s="46"/>
      <c r="C1" s="46"/>
      <c r="D1" s="46"/>
      <c r="E1" s="46"/>
    </row>
    <row r="2" customFormat="false" ht="15" hidden="false" customHeight="true" outlineLevel="0" collapsed="false">
      <c r="A2" s="47" t="s">
        <v>93</v>
      </c>
      <c r="B2" s="47"/>
      <c r="C2" s="47"/>
      <c r="D2" s="47"/>
      <c r="E2" s="47"/>
    </row>
    <row r="4" customFormat="false" ht="18" hidden="false" customHeight="true" outlineLevel="0" collapsed="false">
      <c r="A4" s="48" t="s">
        <v>94</v>
      </c>
      <c r="B4" s="49" t="s">
        <v>23</v>
      </c>
      <c r="C4" s="49"/>
      <c r="D4" s="49"/>
      <c r="E4" s="49"/>
    </row>
    <row r="5" customFormat="false" ht="18" hidden="false" customHeight="true" outlineLevel="0" collapsed="false">
      <c r="A5" s="48" t="s">
        <v>95</v>
      </c>
      <c r="B5" s="49" t="s">
        <v>114</v>
      </c>
      <c r="C5" s="49"/>
      <c r="D5" s="49"/>
      <c r="E5" s="49"/>
    </row>
    <row r="6" customFormat="false" ht="18" hidden="false" customHeight="true" outlineLevel="0" collapsed="false">
      <c r="A6" s="48" t="s">
        <v>97</v>
      </c>
      <c r="B6" s="49" t="s">
        <v>9</v>
      </c>
      <c r="C6" s="49"/>
      <c r="D6" s="49"/>
      <c r="E6" s="49"/>
    </row>
    <row r="7" customFormat="false" ht="18" hidden="false" customHeight="true" outlineLevel="0" collapsed="false">
      <c r="A7" s="48" t="s">
        <v>98</v>
      </c>
      <c r="B7" s="49" t="s">
        <v>24</v>
      </c>
      <c r="C7" s="49"/>
      <c r="D7" s="49"/>
      <c r="E7" s="49"/>
    </row>
    <row r="8" customFormat="false" ht="18" hidden="false" customHeight="true" outlineLevel="0" collapsed="false">
      <c r="A8" s="48" t="s">
        <v>99</v>
      </c>
      <c r="B8" s="49" t="s">
        <v>25</v>
      </c>
      <c r="C8" s="49"/>
      <c r="D8" s="49"/>
      <c r="E8" s="49"/>
    </row>
    <row r="9" customFormat="false" ht="18" hidden="false" customHeight="true" outlineLevel="0" collapsed="false">
      <c r="A9" s="48" t="s">
        <v>100</v>
      </c>
      <c r="B9" s="49" t="s">
        <v>115</v>
      </c>
      <c r="C9" s="49"/>
      <c r="D9" s="49"/>
      <c r="E9" s="49"/>
    </row>
    <row r="11" customFormat="false" ht="21.75" hidden="false" customHeight="true" outlineLevel="0" collapsed="false">
      <c r="A11" s="3" t="s">
        <v>102</v>
      </c>
      <c r="B11" s="3" t="s">
        <v>103</v>
      </c>
      <c r="C11" s="3" t="s">
        <v>104</v>
      </c>
      <c r="D11" s="3" t="s">
        <v>105</v>
      </c>
      <c r="E11" s="3" t="s">
        <v>8</v>
      </c>
    </row>
    <row r="12" customFormat="false" ht="23.85" hidden="false" customHeight="false" outlineLevel="0" collapsed="false">
      <c r="A12" s="22" t="s">
        <v>106</v>
      </c>
      <c r="B12" s="5" t="n">
        <v>1</v>
      </c>
      <c r="C12" s="20" t="s">
        <v>107</v>
      </c>
      <c r="D12" s="6" t="n">
        <v>95</v>
      </c>
      <c r="E12" s="6" t="n">
        <v>95</v>
      </c>
    </row>
    <row r="13" customFormat="false" ht="15" hidden="false" customHeight="false" outlineLevel="0" collapsed="false">
      <c r="A13" s="18" t="s">
        <v>108</v>
      </c>
      <c r="B13" s="38" t="n">
        <v>1</v>
      </c>
      <c r="C13" s="16" t="s">
        <v>109</v>
      </c>
      <c r="D13" s="19" t="n">
        <v>120</v>
      </c>
      <c r="E13" s="19" t="n">
        <v>120</v>
      </c>
    </row>
    <row r="15" customFormat="false" ht="15" hidden="false" customHeight="false" outlineLevel="0" collapsed="false">
      <c r="A15" s="50"/>
      <c r="B15" s="50"/>
      <c r="C15" s="50"/>
      <c r="D15" s="51" t="s">
        <v>110</v>
      </c>
      <c r="E15" s="42" t="n">
        <f aca="false">SUM(E12:E13)</f>
        <v>215</v>
      </c>
    </row>
    <row r="16" customFormat="false" ht="15" hidden="false" customHeight="false" outlineLevel="0" collapsed="false">
      <c r="A16" s="50"/>
      <c r="B16" s="50"/>
      <c r="C16" s="50"/>
      <c r="D16" s="51" t="s">
        <v>111</v>
      </c>
      <c r="E16" s="42" t="n">
        <f aca="false">E15*0.22</f>
        <v>47.3</v>
      </c>
    </row>
    <row r="17" customFormat="false" ht="15" hidden="false" customHeight="false" outlineLevel="0" collapsed="false">
      <c r="A17" s="50"/>
      <c r="B17" s="50"/>
      <c r="C17" s="50"/>
      <c r="D17" s="52" t="s">
        <v>112</v>
      </c>
      <c r="E17" s="14" t="n">
        <f aca="false">E15+E16</f>
        <v>262.3</v>
      </c>
    </row>
    <row r="20" customFormat="false" ht="15" hidden="false" customHeight="true" outlineLevel="0" collapsed="false">
      <c r="A20" s="53" t="s">
        <v>113</v>
      </c>
      <c r="B20" s="53"/>
      <c r="C20" s="53"/>
      <c r="D20" s="53"/>
      <c r="E20" s="53"/>
    </row>
  </sheetData>
  <mergeCells count="9">
    <mergeCell ref="A1:E1"/>
    <mergeCell ref="A2:E2"/>
    <mergeCell ref="B4:E4"/>
    <mergeCell ref="B5:E5"/>
    <mergeCell ref="B6:E6"/>
    <mergeCell ref="B7:E7"/>
    <mergeCell ref="B8:E8"/>
    <mergeCell ref="B9:E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0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7.35" hidden="false" customHeight="true" outlineLevel="0" collapsed="false">
      <c r="A1" s="46" t="s">
        <v>92</v>
      </c>
      <c r="B1" s="46"/>
      <c r="C1" s="46"/>
      <c r="D1" s="46"/>
      <c r="E1" s="46"/>
    </row>
    <row r="2" customFormat="false" ht="15" hidden="false" customHeight="true" outlineLevel="0" collapsed="false">
      <c r="A2" s="47" t="s">
        <v>93</v>
      </c>
      <c r="B2" s="47"/>
      <c r="C2" s="47"/>
      <c r="D2" s="47"/>
      <c r="E2" s="47"/>
    </row>
    <row r="4" customFormat="false" ht="18" hidden="false" customHeight="true" outlineLevel="0" collapsed="false">
      <c r="A4" s="48" t="s">
        <v>94</v>
      </c>
      <c r="B4" s="49" t="s">
        <v>26</v>
      </c>
      <c r="C4" s="49"/>
      <c r="D4" s="49"/>
      <c r="E4" s="49"/>
    </row>
    <row r="5" customFormat="false" ht="18" hidden="false" customHeight="true" outlineLevel="0" collapsed="false">
      <c r="A5" s="48" t="s">
        <v>95</v>
      </c>
      <c r="B5" s="49" t="s">
        <v>116</v>
      </c>
      <c r="C5" s="49"/>
      <c r="D5" s="49"/>
      <c r="E5" s="49"/>
    </row>
    <row r="6" customFormat="false" ht="18" hidden="false" customHeight="true" outlineLevel="0" collapsed="false">
      <c r="A6" s="48" t="s">
        <v>97</v>
      </c>
      <c r="B6" s="49" t="s">
        <v>9</v>
      </c>
      <c r="C6" s="49"/>
      <c r="D6" s="49"/>
      <c r="E6" s="49"/>
    </row>
    <row r="7" customFormat="false" ht="18" hidden="false" customHeight="true" outlineLevel="0" collapsed="false">
      <c r="A7" s="48" t="s">
        <v>98</v>
      </c>
      <c r="B7" s="49" t="s">
        <v>27</v>
      </c>
      <c r="C7" s="49"/>
      <c r="D7" s="49"/>
      <c r="E7" s="49"/>
    </row>
    <row r="8" customFormat="false" ht="18" hidden="false" customHeight="true" outlineLevel="0" collapsed="false">
      <c r="A8" s="48" t="s">
        <v>99</v>
      </c>
      <c r="B8" s="49" t="s">
        <v>28</v>
      </c>
      <c r="C8" s="49"/>
      <c r="D8" s="49"/>
      <c r="E8" s="49"/>
    </row>
    <row r="9" customFormat="false" ht="18" hidden="false" customHeight="true" outlineLevel="0" collapsed="false">
      <c r="A9" s="48" t="s">
        <v>100</v>
      </c>
      <c r="B9" s="49" t="s">
        <v>101</v>
      </c>
      <c r="C9" s="49"/>
      <c r="D9" s="49"/>
      <c r="E9" s="49"/>
    </row>
    <row r="11" customFormat="false" ht="21.75" hidden="false" customHeight="true" outlineLevel="0" collapsed="false">
      <c r="A11" s="3" t="s">
        <v>102</v>
      </c>
      <c r="B11" s="3" t="s">
        <v>103</v>
      </c>
      <c r="C11" s="3" t="s">
        <v>104</v>
      </c>
      <c r="D11" s="3" t="s">
        <v>105</v>
      </c>
      <c r="E11" s="3" t="s">
        <v>8</v>
      </c>
    </row>
    <row r="12" customFormat="false" ht="23.85" hidden="false" customHeight="false" outlineLevel="0" collapsed="false">
      <c r="A12" s="22" t="s">
        <v>117</v>
      </c>
      <c r="B12" s="5" t="n">
        <v>1</v>
      </c>
      <c r="C12" s="20" t="s">
        <v>107</v>
      </c>
      <c r="D12" s="6" t="n">
        <v>75</v>
      </c>
      <c r="E12" s="6" t="n">
        <v>75</v>
      </c>
    </row>
    <row r="13" customFormat="false" ht="15" hidden="false" customHeight="false" outlineLevel="0" collapsed="false">
      <c r="A13" s="18" t="s">
        <v>108</v>
      </c>
      <c r="B13" s="38" t="n">
        <v>1</v>
      </c>
      <c r="C13" s="16" t="s">
        <v>109</v>
      </c>
      <c r="D13" s="19" t="n">
        <v>80</v>
      </c>
      <c r="E13" s="19" t="n">
        <v>80</v>
      </c>
    </row>
    <row r="15" customFormat="false" ht="15" hidden="false" customHeight="false" outlineLevel="0" collapsed="false">
      <c r="A15" s="50"/>
      <c r="B15" s="50"/>
      <c r="C15" s="50"/>
      <c r="D15" s="51" t="s">
        <v>110</v>
      </c>
      <c r="E15" s="42" t="n">
        <f aca="false">SUM(E12:E13)</f>
        <v>155</v>
      </c>
    </row>
    <row r="16" customFormat="false" ht="15" hidden="false" customHeight="false" outlineLevel="0" collapsed="false">
      <c r="A16" s="50"/>
      <c r="B16" s="50"/>
      <c r="C16" s="50"/>
      <c r="D16" s="51" t="s">
        <v>111</v>
      </c>
      <c r="E16" s="42" t="n">
        <f aca="false">E15*0.22</f>
        <v>34.1</v>
      </c>
    </row>
    <row r="17" customFormat="false" ht="15" hidden="false" customHeight="false" outlineLevel="0" collapsed="false">
      <c r="A17" s="50"/>
      <c r="B17" s="50"/>
      <c r="C17" s="50"/>
      <c r="D17" s="52" t="s">
        <v>112</v>
      </c>
      <c r="E17" s="14" t="n">
        <f aca="false">E15+E16</f>
        <v>189.1</v>
      </c>
    </row>
    <row r="20" customFormat="false" ht="15" hidden="false" customHeight="true" outlineLevel="0" collapsed="false">
      <c r="A20" s="53" t="s">
        <v>113</v>
      </c>
      <c r="B20" s="53"/>
      <c r="C20" s="53"/>
      <c r="D20" s="53"/>
      <c r="E20" s="53"/>
    </row>
  </sheetData>
  <mergeCells count="9">
    <mergeCell ref="A1:E1"/>
    <mergeCell ref="A2:E2"/>
    <mergeCell ref="B4:E4"/>
    <mergeCell ref="B5:E5"/>
    <mergeCell ref="B6:E6"/>
    <mergeCell ref="B7:E7"/>
    <mergeCell ref="B8:E8"/>
    <mergeCell ref="B9:E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0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7.35" hidden="false" customHeight="true" outlineLevel="0" collapsed="false">
      <c r="A1" s="46" t="s">
        <v>92</v>
      </c>
      <c r="B1" s="46"/>
      <c r="C1" s="46"/>
      <c r="D1" s="46"/>
      <c r="E1" s="46"/>
    </row>
    <row r="2" customFormat="false" ht="15" hidden="false" customHeight="true" outlineLevel="0" collapsed="false">
      <c r="A2" s="47" t="s">
        <v>93</v>
      </c>
      <c r="B2" s="47"/>
      <c r="C2" s="47"/>
      <c r="D2" s="47"/>
      <c r="E2" s="47"/>
    </row>
    <row r="4" customFormat="false" ht="18" hidden="false" customHeight="true" outlineLevel="0" collapsed="false">
      <c r="A4" s="48" t="s">
        <v>94</v>
      </c>
      <c r="B4" s="49" t="s">
        <v>29</v>
      </c>
      <c r="C4" s="49"/>
      <c r="D4" s="49"/>
      <c r="E4" s="49"/>
    </row>
    <row r="5" customFormat="false" ht="18" hidden="false" customHeight="true" outlineLevel="0" collapsed="false">
      <c r="A5" s="48" t="s">
        <v>95</v>
      </c>
      <c r="B5" s="49" t="s">
        <v>118</v>
      </c>
      <c r="C5" s="49"/>
      <c r="D5" s="49"/>
      <c r="E5" s="49"/>
    </row>
    <row r="6" customFormat="false" ht="18" hidden="false" customHeight="true" outlineLevel="0" collapsed="false">
      <c r="A6" s="48" t="s">
        <v>97</v>
      </c>
      <c r="B6" s="49" t="s">
        <v>9</v>
      </c>
      <c r="C6" s="49"/>
      <c r="D6" s="49"/>
      <c r="E6" s="49"/>
    </row>
    <row r="7" customFormat="false" ht="18" hidden="false" customHeight="true" outlineLevel="0" collapsed="false">
      <c r="A7" s="48" t="s">
        <v>98</v>
      </c>
      <c r="B7" s="49" t="s">
        <v>30</v>
      </c>
      <c r="C7" s="49"/>
      <c r="D7" s="49"/>
      <c r="E7" s="49"/>
    </row>
    <row r="8" customFormat="false" ht="18" hidden="false" customHeight="true" outlineLevel="0" collapsed="false">
      <c r="A8" s="48" t="s">
        <v>99</v>
      </c>
      <c r="B8" s="49" t="s">
        <v>31</v>
      </c>
      <c r="C8" s="49"/>
      <c r="D8" s="49"/>
      <c r="E8" s="49"/>
    </row>
    <row r="9" customFormat="false" ht="18" hidden="false" customHeight="true" outlineLevel="0" collapsed="false">
      <c r="A9" s="48" t="s">
        <v>100</v>
      </c>
      <c r="B9" s="49" t="s">
        <v>101</v>
      </c>
      <c r="C9" s="49"/>
      <c r="D9" s="49"/>
      <c r="E9" s="49"/>
    </row>
    <row r="11" customFormat="false" ht="21.75" hidden="false" customHeight="true" outlineLevel="0" collapsed="false">
      <c r="A11" s="3" t="s">
        <v>102</v>
      </c>
      <c r="B11" s="3" t="s">
        <v>103</v>
      </c>
      <c r="C11" s="3" t="s">
        <v>104</v>
      </c>
      <c r="D11" s="3" t="s">
        <v>105</v>
      </c>
      <c r="E11" s="3" t="s">
        <v>8</v>
      </c>
    </row>
    <row r="12" customFormat="false" ht="23.85" hidden="false" customHeight="false" outlineLevel="0" collapsed="false">
      <c r="A12" s="22" t="s">
        <v>119</v>
      </c>
      <c r="B12" s="5" t="n">
        <v>1</v>
      </c>
      <c r="C12" s="20" t="s">
        <v>107</v>
      </c>
      <c r="D12" s="6" t="n">
        <v>140</v>
      </c>
      <c r="E12" s="6" t="n">
        <v>140</v>
      </c>
    </row>
    <row r="13" customFormat="false" ht="15" hidden="false" customHeight="false" outlineLevel="0" collapsed="false">
      <c r="A13" s="18" t="s">
        <v>108</v>
      </c>
      <c r="B13" s="38" t="n">
        <v>1</v>
      </c>
      <c r="C13" s="16" t="s">
        <v>109</v>
      </c>
      <c r="D13" s="19" t="n">
        <v>210</v>
      </c>
      <c r="E13" s="19" t="n">
        <v>210</v>
      </c>
    </row>
    <row r="15" customFormat="false" ht="15" hidden="false" customHeight="false" outlineLevel="0" collapsed="false">
      <c r="A15" s="50"/>
      <c r="B15" s="50"/>
      <c r="C15" s="50"/>
      <c r="D15" s="51" t="s">
        <v>110</v>
      </c>
      <c r="E15" s="42" t="n">
        <f aca="false">SUM(E12:E13)</f>
        <v>350</v>
      </c>
    </row>
    <row r="16" customFormat="false" ht="15" hidden="false" customHeight="false" outlineLevel="0" collapsed="false">
      <c r="A16" s="50"/>
      <c r="B16" s="50"/>
      <c r="C16" s="50"/>
      <c r="D16" s="51" t="s">
        <v>111</v>
      </c>
      <c r="E16" s="42" t="n">
        <f aca="false">E15*0.22</f>
        <v>77</v>
      </c>
    </row>
    <row r="17" customFormat="false" ht="15" hidden="false" customHeight="false" outlineLevel="0" collapsed="false">
      <c r="A17" s="50"/>
      <c r="B17" s="50"/>
      <c r="C17" s="50"/>
      <c r="D17" s="52" t="s">
        <v>112</v>
      </c>
      <c r="E17" s="14" t="n">
        <f aca="false">E15+E16</f>
        <v>427</v>
      </c>
    </row>
    <row r="20" customFormat="false" ht="15" hidden="false" customHeight="true" outlineLevel="0" collapsed="false">
      <c r="A20" s="53" t="s">
        <v>113</v>
      </c>
      <c r="B20" s="53"/>
      <c r="C20" s="53"/>
      <c r="D20" s="53"/>
      <c r="E20" s="53"/>
    </row>
  </sheetData>
  <mergeCells count="9">
    <mergeCell ref="A1:E1"/>
    <mergeCell ref="A2:E2"/>
    <mergeCell ref="B4:E4"/>
    <mergeCell ref="B5:E5"/>
    <mergeCell ref="B6:E6"/>
    <mergeCell ref="B7:E7"/>
    <mergeCell ref="B8:E8"/>
    <mergeCell ref="B9:E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0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7.35" hidden="false" customHeight="true" outlineLevel="0" collapsed="false">
      <c r="A1" s="46" t="s">
        <v>92</v>
      </c>
      <c r="B1" s="46"/>
      <c r="C1" s="46"/>
      <c r="D1" s="46"/>
      <c r="E1" s="46"/>
    </row>
    <row r="2" customFormat="false" ht="15" hidden="false" customHeight="true" outlineLevel="0" collapsed="false">
      <c r="A2" s="47" t="s">
        <v>93</v>
      </c>
      <c r="B2" s="47"/>
      <c r="C2" s="47"/>
      <c r="D2" s="47"/>
      <c r="E2" s="47"/>
    </row>
    <row r="4" customFormat="false" ht="18" hidden="false" customHeight="true" outlineLevel="0" collapsed="false">
      <c r="A4" s="48" t="s">
        <v>94</v>
      </c>
      <c r="B4" s="49" t="s">
        <v>32</v>
      </c>
      <c r="C4" s="49"/>
      <c r="D4" s="49"/>
      <c r="E4" s="49"/>
    </row>
    <row r="5" customFormat="false" ht="18" hidden="false" customHeight="true" outlineLevel="0" collapsed="false">
      <c r="A5" s="48" t="s">
        <v>95</v>
      </c>
      <c r="B5" s="49" t="s">
        <v>120</v>
      </c>
      <c r="C5" s="49"/>
      <c r="D5" s="49"/>
      <c r="E5" s="49"/>
    </row>
    <row r="6" customFormat="false" ht="18" hidden="false" customHeight="true" outlineLevel="0" collapsed="false">
      <c r="A6" s="48" t="s">
        <v>97</v>
      </c>
      <c r="B6" s="49" t="s">
        <v>9</v>
      </c>
      <c r="C6" s="49"/>
      <c r="D6" s="49"/>
      <c r="E6" s="49"/>
    </row>
    <row r="7" customFormat="false" ht="18" hidden="false" customHeight="true" outlineLevel="0" collapsed="false">
      <c r="A7" s="48" t="s">
        <v>98</v>
      </c>
      <c r="B7" s="49" t="s">
        <v>33</v>
      </c>
      <c r="C7" s="49"/>
      <c r="D7" s="49"/>
      <c r="E7" s="49"/>
    </row>
    <row r="8" customFormat="false" ht="18" hidden="false" customHeight="true" outlineLevel="0" collapsed="false">
      <c r="A8" s="48" t="s">
        <v>99</v>
      </c>
      <c r="B8" s="49" t="s">
        <v>34</v>
      </c>
      <c r="C8" s="49"/>
      <c r="D8" s="49"/>
      <c r="E8" s="49"/>
    </row>
    <row r="9" customFormat="false" ht="18" hidden="false" customHeight="true" outlineLevel="0" collapsed="false">
      <c r="A9" s="48" t="s">
        <v>100</v>
      </c>
      <c r="B9" s="49" t="s">
        <v>121</v>
      </c>
      <c r="C9" s="49"/>
      <c r="D9" s="49"/>
      <c r="E9" s="49"/>
    </row>
    <row r="11" customFormat="false" ht="21.75" hidden="false" customHeight="true" outlineLevel="0" collapsed="false">
      <c r="A11" s="3" t="s">
        <v>102</v>
      </c>
      <c r="B11" s="3" t="s">
        <v>103</v>
      </c>
      <c r="C11" s="3" t="s">
        <v>104</v>
      </c>
      <c r="D11" s="3" t="s">
        <v>105</v>
      </c>
      <c r="E11" s="3" t="s">
        <v>8</v>
      </c>
    </row>
    <row r="12" customFormat="false" ht="15" hidden="false" customHeight="false" outlineLevel="0" collapsed="false">
      <c r="A12" s="22" t="s">
        <v>122</v>
      </c>
      <c r="B12" s="5" t="n">
        <v>1</v>
      </c>
      <c r="C12" s="20" t="s">
        <v>107</v>
      </c>
      <c r="D12" s="6" t="n">
        <v>80</v>
      </c>
      <c r="E12" s="6" t="n">
        <v>80</v>
      </c>
    </row>
    <row r="13" customFormat="false" ht="15" hidden="false" customHeight="false" outlineLevel="0" collapsed="false">
      <c r="A13" s="18" t="s">
        <v>108</v>
      </c>
      <c r="B13" s="38" t="n">
        <v>1</v>
      </c>
      <c r="C13" s="16" t="s">
        <v>109</v>
      </c>
      <c r="D13" s="19" t="n">
        <v>65</v>
      </c>
      <c r="E13" s="19" t="n">
        <v>65</v>
      </c>
    </row>
    <row r="15" customFormat="false" ht="15" hidden="false" customHeight="false" outlineLevel="0" collapsed="false">
      <c r="A15" s="50"/>
      <c r="B15" s="50"/>
      <c r="C15" s="50"/>
      <c r="D15" s="51" t="s">
        <v>110</v>
      </c>
      <c r="E15" s="42" t="n">
        <f aca="false">SUM(E12:E13)</f>
        <v>145</v>
      </c>
    </row>
    <row r="16" customFormat="false" ht="15" hidden="false" customHeight="false" outlineLevel="0" collapsed="false">
      <c r="A16" s="50"/>
      <c r="B16" s="50"/>
      <c r="C16" s="50"/>
      <c r="D16" s="51" t="s">
        <v>111</v>
      </c>
      <c r="E16" s="42" t="n">
        <f aca="false">E15*0.22</f>
        <v>31.9</v>
      </c>
    </row>
    <row r="17" customFormat="false" ht="15" hidden="false" customHeight="false" outlineLevel="0" collapsed="false">
      <c r="A17" s="50"/>
      <c r="B17" s="50"/>
      <c r="C17" s="50"/>
      <c r="D17" s="52" t="s">
        <v>112</v>
      </c>
      <c r="E17" s="14" t="n">
        <f aca="false">E15+E16</f>
        <v>176.9</v>
      </c>
    </row>
    <row r="20" customFormat="false" ht="15" hidden="false" customHeight="true" outlineLevel="0" collapsed="false">
      <c r="A20" s="53" t="s">
        <v>113</v>
      </c>
      <c r="B20" s="53"/>
      <c r="C20" s="53"/>
      <c r="D20" s="53"/>
      <c r="E20" s="53"/>
    </row>
  </sheetData>
  <mergeCells count="9">
    <mergeCell ref="A1:E1"/>
    <mergeCell ref="A2:E2"/>
    <mergeCell ref="B4:E4"/>
    <mergeCell ref="B5:E5"/>
    <mergeCell ref="B6:E6"/>
    <mergeCell ref="B7:E7"/>
    <mergeCell ref="B8:E8"/>
    <mergeCell ref="B9:E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0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7.35" hidden="false" customHeight="true" outlineLevel="0" collapsed="false">
      <c r="A1" s="46" t="s">
        <v>92</v>
      </c>
      <c r="B1" s="46"/>
      <c r="C1" s="46"/>
      <c r="D1" s="46"/>
      <c r="E1" s="46"/>
    </row>
    <row r="2" customFormat="false" ht="15" hidden="false" customHeight="true" outlineLevel="0" collapsed="false">
      <c r="A2" s="47" t="s">
        <v>93</v>
      </c>
      <c r="B2" s="47"/>
      <c r="C2" s="47"/>
      <c r="D2" s="47"/>
      <c r="E2" s="47"/>
    </row>
    <row r="4" customFormat="false" ht="18" hidden="false" customHeight="true" outlineLevel="0" collapsed="false">
      <c r="A4" s="48" t="s">
        <v>94</v>
      </c>
      <c r="B4" s="49" t="s">
        <v>35</v>
      </c>
      <c r="C4" s="49"/>
      <c r="D4" s="49"/>
      <c r="E4" s="49"/>
    </row>
    <row r="5" customFormat="false" ht="18" hidden="false" customHeight="true" outlineLevel="0" collapsed="false">
      <c r="A5" s="48" t="s">
        <v>95</v>
      </c>
      <c r="B5" s="49" t="s">
        <v>123</v>
      </c>
      <c r="C5" s="49"/>
      <c r="D5" s="49"/>
      <c r="E5" s="49"/>
    </row>
    <row r="6" customFormat="false" ht="18" hidden="false" customHeight="true" outlineLevel="0" collapsed="false">
      <c r="A6" s="48" t="s">
        <v>97</v>
      </c>
      <c r="B6" s="49" t="s">
        <v>9</v>
      </c>
      <c r="C6" s="49"/>
      <c r="D6" s="49"/>
      <c r="E6" s="49"/>
    </row>
    <row r="7" customFormat="false" ht="18" hidden="false" customHeight="true" outlineLevel="0" collapsed="false">
      <c r="A7" s="48" t="s">
        <v>98</v>
      </c>
      <c r="B7" s="49" t="s">
        <v>36</v>
      </c>
      <c r="C7" s="49"/>
      <c r="D7" s="49"/>
      <c r="E7" s="49"/>
    </row>
    <row r="8" customFormat="false" ht="18" hidden="false" customHeight="true" outlineLevel="0" collapsed="false">
      <c r="A8" s="48" t="s">
        <v>99</v>
      </c>
      <c r="B8" s="49" t="s">
        <v>37</v>
      </c>
      <c r="C8" s="49"/>
      <c r="D8" s="49"/>
      <c r="E8" s="49"/>
    </row>
    <row r="9" customFormat="false" ht="18" hidden="false" customHeight="true" outlineLevel="0" collapsed="false">
      <c r="A9" s="48" t="s">
        <v>100</v>
      </c>
      <c r="B9" s="49" t="s">
        <v>115</v>
      </c>
      <c r="C9" s="49"/>
      <c r="D9" s="49"/>
      <c r="E9" s="49"/>
    </row>
    <row r="11" customFormat="false" ht="21.75" hidden="false" customHeight="true" outlineLevel="0" collapsed="false">
      <c r="A11" s="3" t="s">
        <v>102</v>
      </c>
      <c r="B11" s="3" t="s">
        <v>103</v>
      </c>
      <c r="C11" s="3" t="s">
        <v>104</v>
      </c>
      <c r="D11" s="3" t="s">
        <v>105</v>
      </c>
      <c r="E11" s="3" t="s">
        <v>8</v>
      </c>
    </row>
    <row r="12" customFormat="false" ht="23.85" hidden="false" customHeight="false" outlineLevel="0" collapsed="false">
      <c r="A12" s="22" t="s">
        <v>106</v>
      </c>
      <c r="B12" s="5" t="n">
        <v>1</v>
      </c>
      <c r="C12" s="20" t="s">
        <v>107</v>
      </c>
      <c r="D12" s="6" t="n">
        <v>95</v>
      </c>
      <c r="E12" s="6" t="n">
        <v>95</v>
      </c>
    </row>
    <row r="13" customFormat="false" ht="15" hidden="false" customHeight="false" outlineLevel="0" collapsed="false">
      <c r="A13" s="18" t="s">
        <v>108</v>
      </c>
      <c r="B13" s="38" t="n">
        <v>1</v>
      </c>
      <c r="C13" s="16" t="s">
        <v>109</v>
      </c>
      <c r="D13" s="19" t="n">
        <v>120</v>
      </c>
      <c r="E13" s="19" t="n">
        <v>120</v>
      </c>
    </row>
    <row r="15" customFormat="false" ht="15" hidden="false" customHeight="false" outlineLevel="0" collapsed="false">
      <c r="A15" s="50"/>
      <c r="B15" s="50"/>
      <c r="C15" s="50"/>
      <c r="D15" s="51" t="s">
        <v>110</v>
      </c>
      <c r="E15" s="42" t="n">
        <f aca="false">SUM(E12:E13)</f>
        <v>215</v>
      </c>
    </row>
    <row r="16" customFormat="false" ht="15" hidden="false" customHeight="false" outlineLevel="0" collapsed="false">
      <c r="A16" s="50"/>
      <c r="B16" s="50"/>
      <c r="C16" s="50"/>
      <c r="D16" s="51" t="s">
        <v>111</v>
      </c>
      <c r="E16" s="42" t="n">
        <f aca="false">E15*0.22</f>
        <v>47.3</v>
      </c>
    </row>
    <row r="17" customFormat="false" ht="15" hidden="false" customHeight="false" outlineLevel="0" collapsed="false">
      <c r="A17" s="50"/>
      <c r="B17" s="50"/>
      <c r="C17" s="50"/>
      <c r="D17" s="52" t="s">
        <v>112</v>
      </c>
      <c r="E17" s="14" t="n">
        <f aca="false">E15+E16</f>
        <v>262.3</v>
      </c>
    </row>
    <row r="20" customFormat="false" ht="15" hidden="false" customHeight="true" outlineLevel="0" collapsed="false">
      <c r="A20" s="53" t="s">
        <v>113</v>
      </c>
      <c r="B20" s="53"/>
      <c r="C20" s="53"/>
      <c r="D20" s="53"/>
      <c r="E20" s="53"/>
    </row>
  </sheetData>
  <mergeCells count="9">
    <mergeCell ref="A1:E1"/>
    <mergeCell ref="A2:E2"/>
    <mergeCell ref="B4:E4"/>
    <mergeCell ref="B5:E5"/>
    <mergeCell ref="B6:E6"/>
    <mergeCell ref="B7:E7"/>
    <mergeCell ref="B8:E8"/>
    <mergeCell ref="B9:E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0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7.35" hidden="false" customHeight="true" outlineLevel="0" collapsed="false">
      <c r="A1" s="46" t="s">
        <v>92</v>
      </c>
      <c r="B1" s="46"/>
      <c r="C1" s="46"/>
      <c r="D1" s="46"/>
      <c r="E1" s="46"/>
    </row>
    <row r="2" customFormat="false" ht="15" hidden="false" customHeight="true" outlineLevel="0" collapsed="false">
      <c r="A2" s="47" t="s">
        <v>93</v>
      </c>
      <c r="B2" s="47"/>
      <c r="C2" s="47"/>
      <c r="D2" s="47"/>
      <c r="E2" s="47"/>
    </row>
    <row r="4" customFormat="false" ht="18" hidden="false" customHeight="true" outlineLevel="0" collapsed="false">
      <c r="A4" s="48" t="s">
        <v>94</v>
      </c>
      <c r="B4" s="49" t="s">
        <v>38</v>
      </c>
      <c r="C4" s="49"/>
      <c r="D4" s="49"/>
      <c r="E4" s="49"/>
    </row>
    <row r="5" customFormat="false" ht="18" hidden="false" customHeight="true" outlineLevel="0" collapsed="false">
      <c r="A5" s="48" t="s">
        <v>95</v>
      </c>
      <c r="B5" s="49" t="s">
        <v>124</v>
      </c>
      <c r="C5" s="49"/>
      <c r="D5" s="49"/>
      <c r="E5" s="49"/>
    </row>
    <row r="6" customFormat="false" ht="18" hidden="false" customHeight="true" outlineLevel="0" collapsed="false">
      <c r="A6" s="48" t="s">
        <v>97</v>
      </c>
      <c r="B6" s="49" t="s">
        <v>10</v>
      </c>
      <c r="C6" s="49"/>
      <c r="D6" s="49"/>
      <c r="E6" s="49"/>
    </row>
    <row r="7" customFormat="false" ht="18" hidden="false" customHeight="true" outlineLevel="0" collapsed="false">
      <c r="A7" s="48" t="s">
        <v>98</v>
      </c>
      <c r="B7" s="49" t="s">
        <v>39</v>
      </c>
      <c r="C7" s="49"/>
      <c r="D7" s="49"/>
      <c r="E7" s="49"/>
    </row>
    <row r="8" customFormat="false" ht="18" hidden="false" customHeight="true" outlineLevel="0" collapsed="false">
      <c r="A8" s="48" t="s">
        <v>99</v>
      </c>
      <c r="B8" s="49" t="s">
        <v>40</v>
      </c>
      <c r="C8" s="49"/>
      <c r="D8" s="49"/>
      <c r="E8" s="49"/>
    </row>
    <row r="9" customFormat="false" ht="18" hidden="false" customHeight="true" outlineLevel="0" collapsed="false">
      <c r="A9" s="48" t="s">
        <v>100</v>
      </c>
      <c r="B9" s="49" t="s">
        <v>121</v>
      </c>
      <c r="C9" s="49"/>
      <c r="D9" s="49"/>
      <c r="E9" s="49"/>
    </row>
    <row r="11" customFormat="false" ht="21.75" hidden="false" customHeight="true" outlineLevel="0" collapsed="false">
      <c r="A11" s="3" t="s">
        <v>102</v>
      </c>
      <c r="B11" s="3" t="s">
        <v>103</v>
      </c>
      <c r="C11" s="3" t="s">
        <v>104</v>
      </c>
      <c r="D11" s="3" t="s">
        <v>105</v>
      </c>
      <c r="E11" s="3" t="s">
        <v>8</v>
      </c>
    </row>
    <row r="12" customFormat="false" ht="15" hidden="false" customHeight="false" outlineLevel="0" collapsed="false">
      <c r="A12" s="29" t="s">
        <v>125</v>
      </c>
      <c r="B12" s="8" t="n">
        <v>1</v>
      </c>
      <c r="C12" s="27" t="s">
        <v>107</v>
      </c>
      <c r="D12" s="9" t="n">
        <v>40</v>
      </c>
      <c r="E12" s="9" t="n">
        <v>40</v>
      </c>
    </row>
    <row r="14" customFormat="false" ht="15" hidden="false" customHeight="false" outlineLevel="0" collapsed="false">
      <c r="A14" s="50"/>
      <c r="B14" s="50"/>
      <c r="C14" s="50"/>
      <c r="D14" s="51" t="s">
        <v>110</v>
      </c>
      <c r="E14" s="42" t="n">
        <f aca="false">SUM(E12:E12)</f>
        <v>40</v>
      </c>
    </row>
    <row r="15" customFormat="false" ht="15" hidden="false" customHeight="false" outlineLevel="0" collapsed="false">
      <c r="A15" s="50"/>
      <c r="B15" s="50"/>
      <c r="C15" s="50"/>
      <c r="D15" s="51" t="s">
        <v>111</v>
      </c>
      <c r="E15" s="42" t="n">
        <f aca="false">E14*0.22</f>
        <v>8.8</v>
      </c>
    </row>
    <row r="16" customFormat="false" ht="15" hidden="false" customHeight="false" outlineLevel="0" collapsed="false">
      <c r="A16" s="50"/>
      <c r="B16" s="50"/>
      <c r="C16" s="50"/>
      <c r="D16" s="52" t="s">
        <v>112</v>
      </c>
      <c r="E16" s="14" t="n">
        <f aca="false">E14+E15</f>
        <v>48.8</v>
      </c>
    </row>
    <row r="19" customFormat="false" ht="15" hidden="false" customHeight="true" outlineLevel="0" collapsed="false">
      <c r="A19" s="53" t="s">
        <v>113</v>
      </c>
      <c r="B19" s="53"/>
      <c r="C19" s="53"/>
      <c r="D19" s="53"/>
      <c r="E19" s="53"/>
    </row>
  </sheetData>
  <mergeCells count="9">
    <mergeCell ref="A1:E1"/>
    <mergeCell ref="A2:E2"/>
    <mergeCell ref="B4:E4"/>
    <mergeCell ref="B5:E5"/>
    <mergeCell ref="B6:E6"/>
    <mergeCell ref="B7:E7"/>
    <mergeCell ref="B8:E8"/>
    <mergeCell ref="B9:E9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0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7.35" hidden="false" customHeight="true" outlineLevel="0" collapsed="false">
      <c r="A1" s="46" t="s">
        <v>92</v>
      </c>
      <c r="B1" s="46"/>
      <c r="C1" s="46"/>
      <c r="D1" s="46"/>
      <c r="E1" s="46"/>
    </row>
    <row r="2" customFormat="false" ht="15" hidden="false" customHeight="true" outlineLevel="0" collapsed="false">
      <c r="A2" s="47" t="s">
        <v>93</v>
      </c>
      <c r="B2" s="47"/>
      <c r="C2" s="47"/>
      <c r="D2" s="47"/>
      <c r="E2" s="47"/>
    </row>
    <row r="4" customFormat="false" ht="18" hidden="false" customHeight="true" outlineLevel="0" collapsed="false">
      <c r="A4" s="48" t="s">
        <v>94</v>
      </c>
      <c r="B4" s="49" t="s">
        <v>41</v>
      </c>
      <c r="C4" s="49"/>
      <c r="D4" s="49"/>
      <c r="E4" s="49"/>
    </row>
    <row r="5" customFormat="false" ht="18" hidden="false" customHeight="true" outlineLevel="0" collapsed="false">
      <c r="A5" s="48" t="s">
        <v>95</v>
      </c>
      <c r="B5" s="49" t="s">
        <v>126</v>
      </c>
      <c r="C5" s="49"/>
      <c r="D5" s="49"/>
      <c r="E5" s="49"/>
    </row>
    <row r="6" customFormat="false" ht="18" hidden="false" customHeight="true" outlineLevel="0" collapsed="false">
      <c r="A6" s="48" t="s">
        <v>97</v>
      </c>
      <c r="B6" s="49" t="s">
        <v>10</v>
      </c>
      <c r="C6" s="49"/>
      <c r="D6" s="49"/>
      <c r="E6" s="49"/>
    </row>
    <row r="7" customFormat="false" ht="18" hidden="false" customHeight="true" outlineLevel="0" collapsed="false">
      <c r="A7" s="48" t="s">
        <v>98</v>
      </c>
      <c r="B7" s="49" t="s">
        <v>42</v>
      </c>
      <c r="C7" s="49"/>
      <c r="D7" s="49"/>
      <c r="E7" s="49"/>
    </row>
    <row r="8" customFormat="false" ht="18" hidden="false" customHeight="true" outlineLevel="0" collapsed="false">
      <c r="A8" s="48" t="s">
        <v>99</v>
      </c>
      <c r="B8" s="49" t="s">
        <v>43</v>
      </c>
      <c r="C8" s="49"/>
      <c r="D8" s="49"/>
      <c r="E8" s="49"/>
    </row>
    <row r="9" customFormat="false" ht="18" hidden="false" customHeight="true" outlineLevel="0" collapsed="false">
      <c r="A9" s="48" t="s">
        <v>100</v>
      </c>
      <c r="B9" s="49" t="s">
        <v>101</v>
      </c>
      <c r="C9" s="49"/>
      <c r="D9" s="49"/>
      <c r="E9" s="49"/>
    </row>
    <row r="11" customFormat="false" ht="21.75" hidden="false" customHeight="true" outlineLevel="0" collapsed="false">
      <c r="A11" s="3" t="s">
        <v>102</v>
      </c>
      <c r="B11" s="3" t="s">
        <v>103</v>
      </c>
      <c r="C11" s="3" t="s">
        <v>104</v>
      </c>
      <c r="D11" s="3" t="s">
        <v>105</v>
      </c>
      <c r="E11" s="3" t="s">
        <v>8</v>
      </c>
    </row>
    <row r="12" customFormat="false" ht="23.85" hidden="false" customHeight="false" outlineLevel="0" collapsed="false">
      <c r="A12" s="29" t="s">
        <v>127</v>
      </c>
      <c r="B12" s="8" t="n">
        <v>1</v>
      </c>
      <c r="C12" s="27" t="s">
        <v>107</v>
      </c>
      <c r="D12" s="9" t="n">
        <v>55</v>
      </c>
      <c r="E12" s="9" t="n">
        <v>55</v>
      </c>
    </row>
    <row r="14" customFormat="false" ht="15" hidden="false" customHeight="false" outlineLevel="0" collapsed="false">
      <c r="A14" s="50"/>
      <c r="B14" s="50"/>
      <c r="C14" s="50"/>
      <c r="D14" s="51" t="s">
        <v>110</v>
      </c>
      <c r="E14" s="42" t="n">
        <f aca="false">SUM(E12:E12)</f>
        <v>55</v>
      </c>
    </row>
    <row r="15" customFormat="false" ht="15" hidden="false" customHeight="false" outlineLevel="0" collapsed="false">
      <c r="A15" s="50"/>
      <c r="B15" s="50"/>
      <c r="C15" s="50"/>
      <c r="D15" s="51" t="s">
        <v>111</v>
      </c>
      <c r="E15" s="42" t="n">
        <f aca="false">E14*0.22</f>
        <v>12.1</v>
      </c>
    </row>
    <row r="16" customFormat="false" ht="15" hidden="false" customHeight="false" outlineLevel="0" collapsed="false">
      <c r="A16" s="50"/>
      <c r="B16" s="50"/>
      <c r="C16" s="50"/>
      <c r="D16" s="52" t="s">
        <v>112</v>
      </c>
      <c r="E16" s="14" t="n">
        <f aca="false">E14+E15</f>
        <v>67.1</v>
      </c>
    </row>
    <row r="19" customFormat="false" ht="15" hidden="false" customHeight="true" outlineLevel="0" collapsed="false">
      <c r="A19" s="53" t="s">
        <v>113</v>
      </c>
      <c r="B19" s="53"/>
      <c r="C19" s="53"/>
      <c r="D19" s="53"/>
      <c r="E19" s="53"/>
    </row>
  </sheetData>
  <mergeCells count="9">
    <mergeCell ref="A1:E1"/>
    <mergeCell ref="A2:E2"/>
    <mergeCell ref="B4:E4"/>
    <mergeCell ref="B5:E5"/>
    <mergeCell ref="B6:E6"/>
    <mergeCell ref="B7:E7"/>
    <mergeCell ref="B8:E8"/>
    <mergeCell ref="B9:E9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0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7.35" hidden="false" customHeight="true" outlineLevel="0" collapsed="false">
      <c r="A1" s="46" t="s">
        <v>92</v>
      </c>
      <c r="B1" s="46"/>
      <c r="C1" s="46"/>
      <c r="D1" s="46"/>
      <c r="E1" s="46"/>
    </row>
    <row r="2" customFormat="false" ht="15" hidden="false" customHeight="true" outlineLevel="0" collapsed="false">
      <c r="A2" s="47" t="s">
        <v>93</v>
      </c>
      <c r="B2" s="47"/>
      <c r="C2" s="47"/>
      <c r="D2" s="47"/>
      <c r="E2" s="47"/>
    </row>
    <row r="4" customFormat="false" ht="18" hidden="false" customHeight="true" outlineLevel="0" collapsed="false">
      <c r="A4" s="48" t="s">
        <v>94</v>
      </c>
      <c r="B4" s="49" t="s">
        <v>44</v>
      </c>
      <c r="C4" s="49"/>
      <c r="D4" s="49"/>
      <c r="E4" s="49"/>
    </row>
    <row r="5" customFormat="false" ht="18" hidden="false" customHeight="true" outlineLevel="0" collapsed="false">
      <c r="A5" s="48" t="s">
        <v>95</v>
      </c>
      <c r="B5" s="49" t="s">
        <v>128</v>
      </c>
      <c r="C5" s="49"/>
      <c r="D5" s="49"/>
      <c r="E5" s="49"/>
    </row>
    <row r="6" customFormat="false" ht="18" hidden="false" customHeight="true" outlineLevel="0" collapsed="false">
      <c r="A6" s="48" t="s">
        <v>97</v>
      </c>
      <c r="B6" s="49" t="s">
        <v>10</v>
      </c>
      <c r="C6" s="49"/>
      <c r="D6" s="49"/>
      <c r="E6" s="49"/>
    </row>
    <row r="7" customFormat="false" ht="18" hidden="false" customHeight="true" outlineLevel="0" collapsed="false">
      <c r="A7" s="48" t="s">
        <v>98</v>
      </c>
      <c r="B7" s="49" t="s">
        <v>45</v>
      </c>
      <c r="C7" s="49"/>
      <c r="D7" s="49"/>
      <c r="E7" s="49"/>
    </row>
    <row r="8" customFormat="false" ht="18" hidden="false" customHeight="true" outlineLevel="0" collapsed="false">
      <c r="A8" s="48" t="s">
        <v>99</v>
      </c>
      <c r="B8" s="49" t="s">
        <v>46</v>
      </c>
      <c r="C8" s="49"/>
      <c r="D8" s="49"/>
      <c r="E8" s="49"/>
    </row>
    <row r="9" customFormat="false" ht="18" hidden="false" customHeight="true" outlineLevel="0" collapsed="false">
      <c r="A9" s="48" t="s">
        <v>100</v>
      </c>
      <c r="B9" s="49" t="s">
        <v>121</v>
      </c>
      <c r="C9" s="49"/>
      <c r="D9" s="49"/>
      <c r="E9" s="49"/>
    </row>
    <row r="11" customFormat="false" ht="21.75" hidden="false" customHeight="true" outlineLevel="0" collapsed="false">
      <c r="A11" s="3" t="s">
        <v>102</v>
      </c>
      <c r="B11" s="3" t="s">
        <v>103</v>
      </c>
      <c r="C11" s="3" t="s">
        <v>104</v>
      </c>
      <c r="D11" s="3" t="s">
        <v>105</v>
      </c>
      <c r="E11" s="3" t="s">
        <v>8</v>
      </c>
    </row>
    <row r="12" customFormat="false" ht="23.85" hidden="false" customHeight="false" outlineLevel="0" collapsed="false">
      <c r="A12" s="29" t="s">
        <v>127</v>
      </c>
      <c r="B12" s="8" t="n">
        <v>1</v>
      </c>
      <c r="C12" s="27" t="s">
        <v>107</v>
      </c>
      <c r="D12" s="9" t="n">
        <v>55</v>
      </c>
      <c r="E12" s="9" t="n">
        <v>55</v>
      </c>
    </row>
    <row r="14" customFormat="false" ht="15" hidden="false" customHeight="false" outlineLevel="0" collapsed="false">
      <c r="A14" s="50"/>
      <c r="B14" s="50"/>
      <c r="C14" s="50"/>
      <c r="D14" s="51" t="s">
        <v>110</v>
      </c>
      <c r="E14" s="42" t="n">
        <f aca="false">SUM(E12:E12)</f>
        <v>55</v>
      </c>
    </row>
    <row r="15" customFormat="false" ht="15" hidden="false" customHeight="false" outlineLevel="0" collapsed="false">
      <c r="A15" s="50"/>
      <c r="B15" s="50"/>
      <c r="C15" s="50"/>
      <c r="D15" s="51" t="s">
        <v>111</v>
      </c>
      <c r="E15" s="42" t="n">
        <f aca="false">E14*0.22</f>
        <v>12.1</v>
      </c>
    </row>
    <row r="16" customFormat="false" ht="15" hidden="false" customHeight="false" outlineLevel="0" collapsed="false">
      <c r="A16" s="50"/>
      <c r="B16" s="50"/>
      <c r="C16" s="50"/>
      <c r="D16" s="52" t="s">
        <v>112</v>
      </c>
      <c r="E16" s="14" t="n">
        <f aca="false">E14+E15</f>
        <v>67.1</v>
      </c>
    </row>
    <row r="19" customFormat="false" ht="15" hidden="false" customHeight="true" outlineLevel="0" collapsed="false">
      <c r="A19" s="53" t="s">
        <v>113</v>
      </c>
      <c r="B19" s="53"/>
      <c r="C19" s="53"/>
      <c r="D19" s="53"/>
      <c r="E19" s="53"/>
    </row>
  </sheetData>
  <mergeCells count="9">
    <mergeCell ref="A1:E1"/>
    <mergeCell ref="A2:E2"/>
    <mergeCell ref="B4:E4"/>
    <mergeCell ref="B5:E5"/>
    <mergeCell ref="B6:E6"/>
    <mergeCell ref="B7:E7"/>
    <mergeCell ref="B8:E8"/>
    <mergeCell ref="B9:E9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0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7.35" hidden="false" customHeight="true" outlineLevel="0" collapsed="false">
      <c r="A1" s="46" t="s">
        <v>92</v>
      </c>
      <c r="B1" s="46"/>
      <c r="C1" s="46"/>
      <c r="D1" s="46"/>
      <c r="E1" s="46"/>
    </row>
    <row r="2" customFormat="false" ht="15" hidden="false" customHeight="true" outlineLevel="0" collapsed="false">
      <c r="A2" s="47" t="s">
        <v>93</v>
      </c>
      <c r="B2" s="47"/>
      <c r="C2" s="47"/>
      <c r="D2" s="47"/>
      <c r="E2" s="47"/>
    </row>
    <row r="4" customFormat="false" ht="18" hidden="false" customHeight="true" outlineLevel="0" collapsed="false">
      <c r="A4" s="48" t="s">
        <v>94</v>
      </c>
      <c r="B4" s="49" t="s">
        <v>47</v>
      </c>
      <c r="C4" s="49"/>
      <c r="D4" s="49"/>
      <c r="E4" s="49"/>
    </row>
    <row r="5" customFormat="false" ht="18" hidden="false" customHeight="true" outlineLevel="0" collapsed="false">
      <c r="A5" s="48" t="s">
        <v>95</v>
      </c>
      <c r="B5" s="49" t="s">
        <v>129</v>
      </c>
      <c r="C5" s="49"/>
      <c r="D5" s="49"/>
      <c r="E5" s="49"/>
    </row>
    <row r="6" customFormat="false" ht="18" hidden="false" customHeight="true" outlineLevel="0" collapsed="false">
      <c r="A6" s="48" t="s">
        <v>97</v>
      </c>
      <c r="B6" s="49" t="s">
        <v>11</v>
      </c>
      <c r="C6" s="49"/>
      <c r="D6" s="49"/>
      <c r="E6" s="49"/>
    </row>
    <row r="7" customFormat="false" ht="18" hidden="false" customHeight="true" outlineLevel="0" collapsed="false">
      <c r="A7" s="48" t="s">
        <v>98</v>
      </c>
      <c r="B7" s="49" t="s">
        <v>48</v>
      </c>
      <c r="C7" s="49"/>
      <c r="D7" s="49"/>
      <c r="E7" s="49"/>
    </row>
    <row r="8" customFormat="false" ht="18" hidden="false" customHeight="true" outlineLevel="0" collapsed="false">
      <c r="A8" s="48" t="s">
        <v>99</v>
      </c>
      <c r="B8" s="49" t="s">
        <v>49</v>
      </c>
      <c r="C8" s="49"/>
      <c r="D8" s="49"/>
      <c r="E8" s="49"/>
    </row>
    <row r="9" customFormat="false" ht="18" hidden="false" customHeight="true" outlineLevel="0" collapsed="false">
      <c r="A9" s="48" t="s">
        <v>100</v>
      </c>
      <c r="B9" s="49" t="s">
        <v>121</v>
      </c>
      <c r="C9" s="49"/>
      <c r="D9" s="49"/>
      <c r="E9" s="49"/>
    </row>
    <row r="11" customFormat="false" ht="21.75" hidden="false" customHeight="true" outlineLevel="0" collapsed="false">
      <c r="A11" s="3" t="s">
        <v>102</v>
      </c>
      <c r="B11" s="3" t="s">
        <v>103</v>
      </c>
      <c r="C11" s="3" t="s">
        <v>104</v>
      </c>
      <c r="D11" s="3" t="s">
        <v>105</v>
      </c>
      <c r="E11" s="3" t="s">
        <v>8</v>
      </c>
    </row>
    <row r="12" customFormat="false" ht="23.85" hidden="false" customHeight="false" outlineLevel="0" collapsed="false">
      <c r="A12" s="32" t="s">
        <v>130</v>
      </c>
      <c r="B12" s="11" t="n">
        <v>1</v>
      </c>
      <c r="C12" s="30" t="s">
        <v>107</v>
      </c>
      <c r="D12" s="12" t="n">
        <v>80</v>
      </c>
      <c r="E12" s="12" t="n">
        <v>80</v>
      </c>
    </row>
    <row r="13" customFormat="false" ht="15" hidden="false" customHeight="false" outlineLevel="0" collapsed="false">
      <c r="A13" s="35" t="s">
        <v>108</v>
      </c>
      <c r="B13" s="40" t="n">
        <v>1</v>
      </c>
      <c r="C13" s="33" t="s">
        <v>109</v>
      </c>
      <c r="D13" s="36" t="n">
        <v>420</v>
      </c>
      <c r="E13" s="36" t="n">
        <v>420</v>
      </c>
    </row>
    <row r="15" customFormat="false" ht="15" hidden="false" customHeight="false" outlineLevel="0" collapsed="false">
      <c r="A15" s="50"/>
      <c r="B15" s="50"/>
      <c r="C15" s="50"/>
      <c r="D15" s="51" t="s">
        <v>110</v>
      </c>
      <c r="E15" s="42" t="n">
        <f aca="false">SUM(E12:E13)</f>
        <v>500</v>
      </c>
    </row>
    <row r="16" customFormat="false" ht="15" hidden="false" customHeight="false" outlineLevel="0" collapsed="false">
      <c r="A16" s="50"/>
      <c r="B16" s="50"/>
      <c r="C16" s="50"/>
      <c r="D16" s="51" t="s">
        <v>111</v>
      </c>
      <c r="E16" s="42" t="n">
        <f aca="false">E15*0.22</f>
        <v>110</v>
      </c>
    </row>
    <row r="17" customFormat="false" ht="15" hidden="false" customHeight="false" outlineLevel="0" collapsed="false">
      <c r="A17" s="50"/>
      <c r="B17" s="50"/>
      <c r="C17" s="50"/>
      <c r="D17" s="52" t="s">
        <v>112</v>
      </c>
      <c r="E17" s="14" t="n">
        <f aca="false">E15+E16</f>
        <v>610</v>
      </c>
    </row>
    <row r="20" customFormat="false" ht="15" hidden="false" customHeight="true" outlineLevel="0" collapsed="false">
      <c r="A20" s="53" t="s">
        <v>113</v>
      </c>
      <c r="B20" s="53"/>
      <c r="C20" s="53"/>
      <c r="D20" s="53"/>
      <c r="E20" s="53"/>
    </row>
  </sheetData>
  <mergeCells count="9">
    <mergeCell ref="A1:E1"/>
    <mergeCell ref="A2:E2"/>
    <mergeCell ref="B4:E4"/>
    <mergeCell ref="B5:E5"/>
    <mergeCell ref="B6:E6"/>
    <mergeCell ref="B7:E7"/>
    <mergeCell ref="B8:E8"/>
    <mergeCell ref="B9:E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0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7.35" hidden="false" customHeight="true" outlineLevel="0" collapsed="false">
      <c r="A1" s="46" t="s">
        <v>92</v>
      </c>
      <c r="B1" s="46"/>
      <c r="C1" s="46"/>
      <c r="D1" s="46"/>
      <c r="E1" s="46"/>
    </row>
    <row r="2" customFormat="false" ht="15" hidden="false" customHeight="true" outlineLevel="0" collapsed="false">
      <c r="A2" s="47" t="s">
        <v>93</v>
      </c>
      <c r="B2" s="47"/>
      <c r="C2" s="47"/>
      <c r="D2" s="47"/>
      <c r="E2" s="47"/>
    </row>
    <row r="4" customFormat="false" ht="18" hidden="false" customHeight="true" outlineLevel="0" collapsed="false">
      <c r="A4" s="48" t="s">
        <v>94</v>
      </c>
      <c r="B4" s="49" t="s">
        <v>50</v>
      </c>
      <c r="C4" s="49"/>
      <c r="D4" s="49"/>
      <c r="E4" s="49"/>
    </row>
    <row r="5" customFormat="false" ht="18" hidden="false" customHeight="true" outlineLevel="0" collapsed="false">
      <c r="A5" s="48" t="s">
        <v>95</v>
      </c>
      <c r="B5" s="49" t="s">
        <v>131</v>
      </c>
      <c r="C5" s="49"/>
      <c r="D5" s="49"/>
      <c r="E5" s="49"/>
    </row>
    <row r="6" customFormat="false" ht="18" hidden="false" customHeight="true" outlineLevel="0" collapsed="false">
      <c r="A6" s="48" t="s">
        <v>97</v>
      </c>
      <c r="B6" s="49" t="s">
        <v>11</v>
      </c>
      <c r="C6" s="49"/>
      <c r="D6" s="49"/>
      <c r="E6" s="49"/>
    </row>
    <row r="7" customFormat="false" ht="18" hidden="false" customHeight="true" outlineLevel="0" collapsed="false">
      <c r="A7" s="48" t="s">
        <v>98</v>
      </c>
      <c r="B7" s="49" t="s">
        <v>51</v>
      </c>
      <c r="C7" s="49"/>
      <c r="D7" s="49"/>
      <c r="E7" s="49"/>
    </row>
    <row r="8" customFormat="false" ht="18" hidden="false" customHeight="true" outlineLevel="0" collapsed="false">
      <c r="A8" s="48" t="s">
        <v>99</v>
      </c>
      <c r="B8" s="49" t="s">
        <v>52</v>
      </c>
      <c r="C8" s="49"/>
      <c r="D8" s="49"/>
      <c r="E8" s="49"/>
    </row>
    <row r="9" customFormat="false" ht="18" hidden="false" customHeight="true" outlineLevel="0" collapsed="false">
      <c r="A9" s="48" t="s">
        <v>100</v>
      </c>
      <c r="B9" s="49" t="s">
        <v>115</v>
      </c>
      <c r="C9" s="49"/>
      <c r="D9" s="49"/>
      <c r="E9" s="49"/>
    </row>
    <row r="11" customFormat="false" ht="21.75" hidden="false" customHeight="true" outlineLevel="0" collapsed="false">
      <c r="A11" s="3" t="s">
        <v>102</v>
      </c>
      <c r="B11" s="3" t="s">
        <v>103</v>
      </c>
      <c r="C11" s="3" t="s">
        <v>104</v>
      </c>
      <c r="D11" s="3" t="s">
        <v>105</v>
      </c>
      <c r="E11" s="3" t="s">
        <v>8</v>
      </c>
    </row>
    <row r="12" customFormat="false" ht="23.85" hidden="false" customHeight="false" outlineLevel="0" collapsed="false">
      <c r="A12" s="32" t="s">
        <v>132</v>
      </c>
      <c r="B12" s="11" t="n">
        <v>1</v>
      </c>
      <c r="C12" s="30" t="s">
        <v>107</v>
      </c>
      <c r="D12" s="12" t="n">
        <v>120</v>
      </c>
      <c r="E12" s="12" t="n">
        <v>120</v>
      </c>
    </row>
    <row r="13" customFormat="false" ht="15" hidden="false" customHeight="false" outlineLevel="0" collapsed="false">
      <c r="A13" s="35" t="s">
        <v>108</v>
      </c>
      <c r="B13" s="40" t="n">
        <v>1</v>
      </c>
      <c r="C13" s="33" t="s">
        <v>109</v>
      </c>
      <c r="D13" s="36" t="n">
        <v>175</v>
      </c>
      <c r="E13" s="36" t="n">
        <v>175</v>
      </c>
    </row>
    <row r="15" customFormat="false" ht="15" hidden="false" customHeight="false" outlineLevel="0" collapsed="false">
      <c r="A15" s="50"/>
      <c r="B15" s="50"/>
      <c r="C15" s="50"/>
      <c r="D15" s="51" t="s">
        <v>110</v>
      </c>
      <c r="E15" s="42" t="n">
        <f aca="false">SUM(E12:E13)</f>
        <v>295</v>
      </c>
    </row>
    <row r="16" customFormat="false" ht="15" hidden="false" customHeight="false" outlineLevel="0" collapsed="false">
      <c r="A16" s="50"/>
      <c r="B16" s="50"/>
      <c r="C16" s="50"/>
      <c r="D16" s="51" t="s">
        <v>111</v>
      </c>
      <c r="E16" s="42" t="n">
        <f aca="false">E15*0.22</f>
        <v>64.9</v>
      </c>
    </row>
    <row r="17" customFormat="false" ht="15" hidden="false" customHeight="false" outlineLevel="0" collapsed="false">
      <c r="A17" s="50"/>
      <c r="B17" s="50"/>
      <c r="C17" s="50"/>
      <c r="D17" s="52" t="s">
        <v>112</v>
      </c>
      <c r="E17" s="14" t="n">
        <f aca="false">E15+E16</f>
        <v>359.9</v>
      </c>
    </row>
    <row r="20" customFormat="false" ht="15" hidden="false" customHeight="true" outlineLevel="0" collapsed="false">
      <c r="A20" s="53" t="s">
        <v>113</v>
      </c>
      <c r="B20" s="53"/>
      <c r="C20" s="53"/>
      <c r="D20" s="53"/>
      <c r="E20" s="53"/>
    </row>
  </sheetData>
  <mergeCells count="9">
    <mergeCell ref="A1:E1"/>
    <mergeCell ref="A2:E2"/>
    <mergeCell ref="B4:E4"/>
    <mergeCell ref="B5:E5"/>
    <mergeCell ref="B6:E6"/>
    <mergeCell ref="B7:E7"/>
    <mergeCell ref="B8:E8"/>
    <mergeCell ref="B9:E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0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7.35" hidden="false" customHeight="true" outlineLevel="0" collapsed="false">
      <c r="A1" s="46" t="s">
        <v>92</v>
      </c>
      <c r="B1" s="46"/>
      <c r="C1" s="46"/>
      <c r="D1" s="46"/>
      <c r="E1" s="46"/>
    </row>
    <row r="2" customFormat="false" ht="15" hidden="false" customHeight="true" outlineLevel="0" collapsed="false">
      <c r="A2" s="47" t="s">
        <v>93</v>
      </c>
      <c r="B2" s="47"/>
      <c r="C2" s="47"/>
      <c r="D2" s="47"/>
      <c r="E2" s="47"/>
    </row>
    <row r="4" customFormat="false" ht="18" hidden="false" customHeight="true" outlineLevel="0" collapsed="false">
      <c r="A4" s="48" t="s">
        <v>94</v>
      </c>
      <c r="B4" s="49" t="s">
        <v>53</v>
      </c>
      <c r="C4" s="49"/>
      <c r="D4" s="49"/>
      <c r="E4" s="49"/>
    </row>
    <row r="5" customFormat="false" ht="18" hidden="false" customHeight="true" outlineLevel="0" collapsed="false">
      <c r="A5" s="48" t="s">
        <v>95</v>
      </c>
      <c r="B5" s="49" t="s">
        <v>133</v>
      </c>
      <c r="C5" s="49"/>
      <c r="D5" s="49"/>
      <c r="E5" s="49"/>
    </row>
    <row r="6" customFormat="false" ht="18" hidden="false" customHeight="true" outlineLevel="0" collapsed="false">
      <c r="A6" s="48" t="s">
        <v>97</v>
      </c>
      <c r="B6" s="49" t="s">
        <v>11</v>
      </c>
      <c r="C6" s="49"/>
      <c r="D6" s="49"/>
      <c r="E6" s="49"/>
    </row>
    <row r="7" customFormat="false" ht="18" hidden="false" customHeight="true" outlineLevel="0" collapsed="false">
      <c r="A7" s="48" t="s">
        <v>98</v>
      </c>
      <c r="B7" s="49" t="s">
        <v>54</v>
      </c>
      <c r="C7" s="49"/>
      <c r="D7" s="49"/>
      <c r="E7" s="49"/>
    </row>
    <row r="8" customFormat="false" ht="18" hidden="false" customHeight="true" outlineLevel="0" collapsed="false">
      <c r="A8" s="48" t="s">
        <v>99</v>
      </c>
      <c r="B8" s="49" t="s">
        <v>55</v>
      </c>
      <c r="C8" s="49"/>
      <c r="D8" s="49"/>
      <c r="E8" s="49"/>
    </row>
    <row r="9" customFormat="false" ht="18" hidden="false" customHeight="true" outlineLevel="0" collapsed="false">
      <c r="A9" s="48" t="s">
        <v>100</v>
      </c>
      <c r="B9" s="49" t="s">
        <v>101</v>
      </c>
      <c r="C9" s="49"/>
      <c r="D9" s="49"/>
      <c r="E9" s="49"/>
    </row>
    <row r="11" customFormat="false" ht="21.75" hidden="false" customHeight="true" outlineLevel="0" collapsed="false">
      <c r="A11" s="3" t="s">
        <v>102</v>
      </c>
      <c r="B11" s="3" t="s">
        <v>103</v>
      </c>
      <c r="C11" s="3" t="s">
        <v>104</v>
      </c>
      <c r="D11" s="3" t="s">
        <v>105</v>
      </c>
      <c r="E11" s="3" t="s">
        <v>8</v>
      </c>
    </row>
    <row r="12" customFormat="false" ht="23.85" hidden="false" customHeight="false" outlineLevel="0" collapsed="false">
      <c r="A12" s="32" t="s">
        <v>134</v>
      </c>
      <c r="B12" s="11" t="n">
        <v>1</v>
      </c>
      <c r="C12" s="30" t="s">
        <v>107</v>
      </c>
      <c r="D12" s="12" t="n">
        <v>130</v>
      </c>
      <c r="E12" s="12" t="n">
        <v>130</v>
      </c>
    </row>
    <row r="13" customFormat="false" ht="15" hidden="false" customHeight="false" outlineLevel="0" collapsed="false">
      <c r="A13" s="35" t="s">
        <v>108</v>
      </c>
      <c r="B13" s="40" t="n">
        <v>1</v>
      </c>
      <c r="C13" s="33" t="s">
        <v>109</v>
      </c>
      <c r="D13" s="36" t="n">
        <v>240</v>
      </c>
      <c r="E13" s="36" t="n">
        <v>240</v>
      </c>
    </row>
    <row r="15" customFormat="false" ht="15" hidden="false" customHeight="false" outlineLevel="0" collapsed="false">
      <c r="A15" s="50"/>
      <c r="B15" s="50"/>
      <c r="C15" s="50"/>
      <c r="D15" s="51" t="s">
        <v>110</v>
      </c>
      <c r="E15" s="42" t="n">
        <f aca="false">SUM(E12:E13)</f>
        <v>370</v>
      </c>
    </row>
    <row r="16" customFormat="false" ht="15" hidden="false" customHeight="false" outlineLevel="0" collapsed="false">
      <c r="A16" s="50"/>
      <c r="B16" s="50"/>
      <c r="C16" s="50"/>
      <c r="D16" s="51" t="s">
        <v>111</v>
      </c>
      <c r="E16" s="42" t="n">
        <f aca="false">E15*0.22</f>
        <v>81.4</v>
      </c>
    </row>
    <row r="17" customFormat="false" ht="15" hidden="false" customHeight="false" outlineLevel="0" collapsed="false">
      <c r="A17" s="50"/>
      <c r="B17" s="50"/>
      <c r="C17" s="50"/>
      <c r="D17" s="52" t="s">
        <v>112</v>
      </c>
      <c r="E17" s="14" t="n">
        <f aca="false">E15+E16</f>
        <v>451.4</v>
      </c>
    </row>
    <row r="20" customFormat="false" ht="15" hidden="false" customHeight="true" outlineLevel="0" collapsed="false">
      <c r="A20" s="53" t="s">
        <v>113</v>
      </c>
      <c r="B20" s="53"/>
      <c r="C20" s="53"/>
      <c r="D20" s="53"/>
      <c r="E20" s="53"/>
    </row>
  </sheetData>
  <mergeCells count="9">
    <mergeCell ref="A1:E1"/>
    <mergeCell ref="A2:E2"/>
    <mergeCell ref="B4:E4"/>
    <mergeCell ref="B5:E5"/>
    <mergeCell ref="B6:E6"/>
    <mergeCell ref="B7:E7"/>
    <mergeCell ref="B8:E8"/>
    <mergeCell ref="B9:E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0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7.35" hidden="false" customHeight="true" outlineLevel="0" collapsed="false">
      <c r="A1" s="46" t="s">
        <v>92</v>
      </c>
      <c r="B1" s="46"/>
      <c r="C1" s="46"/>
      <c r="D1" s="46"/>
      <c r="E1" s="46"/>
    </row>
    <row r="2" customFormat="false" ht="15" hidden="false" customHeight="true" outlineLevel="0" collapsed="false">
      <c r="A2" s="47" t="s">
        <v>93</v>
      </c>
      <c r="B2" s="47"/>
      <c r="C2" s="47"/>
      <c r="D2" s="47"/>
      <c r="E2" s="47"/>
    </row>
    <row r="4" customFormat="false" ht="18" hidden="false" customHeight="true" outlineLevel="0" collapsed="false">
      <c r="A4" s="48" t="s">
        <v>94</v>
      </c>
      <c r="B4" s="49" t="s">
        <v>56</v>
      </c>
      <c r="C4" s="49"/>
      <c r="D4" s="49"/>
      <c r="E4" s="49"/>
    </row>
    <row r="5" customFormat="false" ht="18" hidden="false" customHeight="true" outlineLevel="0" collapsed="false">
      <c r="A5" s="48" t="s">
        <v>95</v>
      </c>
      <c r="B5" s="49" t="s">
        <v>133</v>
      </c>
      <c r="C5" s="49"/>
      <c r="D5" s="49"/>
      <c r="E5" s="49"/>
    </row>
    <row r="6" customFormat="false" ht="18" hidden="false" customHeight="true" outlineLevel="0" collapsed="false">
      <c r="A6" s="48" t="s">
        <v>97</v>
      </c>
      <c r="B6" s="49" t="s">
        <v>11</v>
      </c>
      <c r="C6" s="49"/>
      <c r="D6" s="49"/>
      <c r="E6" s="49"/>
    </row>
    <row r="7" customFormat="false" ht="18" hidden="false" customHeight="true" outlineLevel="0" collapsed="false">
      <c r="A7" s="48" t="s">
        <v>98</v>
      </c>
      <c r="B7" s="49" t="s">
        <v>57</v>
      </c>
      <c r="C7" s="49"/>
      <c r="D7" s="49"/>
      <c r="E7" s="49"/>
    </row>
    <row r="8" customFormat="false" ht="18" hidden="false" customHeight="true" outlineLevel="0" collapsed="false">
      <c r="A8" s="48" t="s">
        <v>99</v>
      </c>
      <c r="B8" s="49" t="s">
        <v>58</v>
      </c>
      <c r="C8" s="49"/>
      <c r="D8" s="49"/>
      <c r="E8" s="49"/>
    </row>
    <row r="9" customFormat="false" ht="18" hidden="false" customHeight="true" outlineLevel="0" collapsed="false">
      <c r="A9" s="48" t="s">
        <v>100</v>
      </c>
      <c r="B9" s="49" t="s">
        <v>121</v>
      </c>
      <c r="C9" s="49"/>
      <c r="D9" s="49"/>
      <c r="E9" s="49"/>
    </row>
    <row r="11" customFormat="false" ht="21.75" hidden="false" customHeight="true" outlineLevel="0" collapsed="false">
      <c r="A11" s="3" t="s">
        <v>102</v>
      </c>
      <c r="B11" s="3" t="s">
        <v>103</v>
      </c>
      <c r="C11" s="3" t="s">
        <v>104</v>
      </c>
      <c r="D11" s="3" t="s">
        <v>105</v>
      </c>
      <c r="E11" s="3" t="s">
        <v>8</v>
      </c>
    </row>
    <row r="12" customFormat="false" ht="23.85" hidden="false" customHeight="false" outlineLevel="0" collapsed="false">
      <c r="A12" s="32" t="s">
        <v>135</v>
      </c>
      <c r="B12" s="11" t="n">
        <v>1</v>
      </c>
      <c r="C12" s="30" t="s">
        <v>107</v>
      </c>
      <c r="D12" s="12" t="n">
        <v>100</v>
      </c>
      <c r="E12" s="12" t="n">
        <v>100</v>
      </c>
    </row>
    <row r="13" customFormat="false" ht="15" hidden="false" customHeight="false" outlineLevel="0" collapsed="false">
      <c r="A13" s="35" t="s">
        <v>108</v>
      </c>
      <c r="B13" s="40" t="n">
        <v>1</v>
      </c>
      <c r="C13" s="33" t="s">
        <v>109</v>
      </c>
      <c r="D13" s="36" t="n">
        <v>95</v>
      </c>
      <c r="E13" s="36" t="n">
        <v>95</v>
      </c>
    </row>
    <row r="15" customFormat="false" ht="15" hidden="false" customHeight="false" outlineLevel="0" collapsed="false">
      <c r="A15" s="50"/>
      <c r="B15" s="50"/>
      <c r="C15" s="50"/>
      <c r="D15" s="51" t="s">
        <v>110</v>
      </c>
      <c r="E15" s="42" t="n">
        <f aca="false">SUM(E12:E13)</f>
        <v>195</v>
      </c>
    </row>
    <row r="16" customFormat="false" ht="15" hidden="false" customHeight="false" outlineLevel="0" collapsed="false">
      <c r="A16" s="50"/>
      <c r="B16" s="50"/>
      <c r="C16" s="50"/>
      <c r="D16" s="51" t="s">
        <v>111</v>
      </c>
      <c r="E16" s="42" t="n">
        <f aca="false">E15*0.22</f>
        <v>42.9</v>
      </c>
    </row>
    <row r="17" customFormat="false" ht="15" hidden="false" customHeight="false" outlineLevel="0" collapsed="false">
      <c r="A17" s="50"/>
      <c r="B17" s="50"/>
      <c r="C17" s="50"/>
      <c r="D17" s="52" t="s">
        <v>112</v>
      </c>
      <c r="E17" s="14" t="n">
        <f aca="false">E15+E16</f>
        <v>237.9</v>
      </c>
    </row>
    <row r="20" customFormat="false" ht="15" hidden="false" customHeight="true" outlineLevel="0" collapsed="false">
      <c r="A20" s="53" t="s">
        <v>113</v>
      </c>
      <c r="B20" s="53"/>
      <c r="C20" s="53"/>
      <c r="D20" s="53"/>
      <c r="E20" s="53"/>
    </row>
  </sheetData>
  <mergeCells count="9">
    <mergeCell ref="A1:E1"/>
    <mergeCell ref="A2:E2"/>
    <mergeCell ref="B4:E4"/>
    <mergeCell ref="B5:E5"/>
    <mergeCell ref="B6:E6"/>
    <mergeCell ref="B7:E7"/>
    <mergeCell ref="B8:E8"/>
    <mergeCell ref="B9:E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0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7.35" hidden="false" customHeight="true" outlineLevel="0" collapsed="false">
      <c r="A1" s="46" t="s">
        <v>92</v>
      </c>
      <c r="B1" s="46"/>
      <c r="C1" s="46"/>
      <c r="D1" s="46"/>
      <c r="E1" s="46"/>
    </row>
    <row r="2" customFormat="false" ht="15" hidden="false" customHeight="true" outlineLevel="0" collapsed="false">
      <c r="A2" s="47" t="s">
        <v>93</v>
      </c>
      <c r="B2" s="47"/>
      <c r="C2" s="47"/>
      <c r="D2" s="47"/>
      <c r="E2" s="47"/>
    </row>
    <row r="4" customFormat="false" ht="18" hidden="false" customHeight="true" outlineLevel="0" collapsed="false">
      <c r="A4" s="48" t="s">
        <v>94</v>
      </c>
      <c r="B4" s="49" t="s">
        <v>59</v>
      </c>
      <c r="C4" s="49"/>
      <c r="D4" s="49"/>
      <c r="E4" s="49"/>
    </row>
    <row r="5" customFormat="false" ht="18" hidden="false" customHeight="true" outlineLevel="0" collapsed="false">
      <c r="A5" s="48" t="s">
        <v>95</v>
      </c>
      <c r="B5" s="49" t="s">
        <v>136</v>
      </c>
      <c r="C5" s="49"/>
      <c r="D5" s="49"/>
      <c r="E5" s="49"/>
    </row>
    <row r="6" customFormat="false" ht="18" hidden="false" customHeight="true" outlineLevel="0" collapsed="false">
      <c r="A6" s="48" t="s">
        <v>97</v>
      </c>
      <c r="B6" s="49" t="s">
        <v>11</v>
      </c>
      <c r="C6" s="49"/>
      <c r="D6" s="49"/>
      <c r="E6" s="49"/>
    </row>
    <row r="7" customFormat="false" ht="18" hidden="false" customHeight="true" outlineLevel="0" collapsed="false">
      <c r="A7" s="48" t="s">
        <v>98</v>
      </c>
      <c r="B7" s="49" t="s">
        <v>60</v>
      </c>
      <c r="C7" s="49"/>
      <c r="D7" s="49"/>
      <c r="E7" s="49"/>
    </row>
    <row r="8" customFormat="false" ht="18" hidden="false" customHeight="true" outlineLevel="0" collapsed="false">
      <c r="A8" s="48" t="s">
        <v>99</v>
      </c>
      <c r="B8" s="49" t="s">
        <v>61</v>
      </c>
      <c r="C8" s="49"/>
      <c r="D8" s="49"/>
      <c r="E8" s="49"/>
    </row>
    <row r="9" customFormat="false" ht="18" hidden="false" customHeight="true" outlineLevel="0" collapsed="false">
      <c r="A9" s="48" t="s">
        <v>100</v>
      </c>
      <c r="B9" s="49" t="s">
        <v>137</v>
      </c>
      <c r="C9" s="49"/>
      <c r="D9" s="49"/>
      <c r="E9" s="49"/>
    </row>
    <row r="11" customFormat="false" ht="21.75" hidden="false" customHeight="true" outlineLevel="0" collapsed="false">
      <c r="A11" s="3" t="s">
        <v>102</v>
      </c>
      <c r="B11" s="3" t="s">
        <v>103</v>
      </c>
      <c r="C11" s="3" t="s">
        <v>104</v>
      </c>
      <c r="D11" s="3" t="s">
        <v>105</v>
      </c>
      <c r="E11" s="3" t="s">
        <v>8</v>
      </c>
    </row>
    <row r="12" customFormat="false" ht="15" hidden="false" customHeight="false" outlineLevel="0" collapsed="false">
      <c r="A12" s="32" t="s">
        <v>138</v>
      </c>
      <c r="B12" s="11" t="n">
        <v>1</v>
      </c>
      <c r="C12" s="30" t="s">
        <v>107</v>
      </c>
      <c r="D12" s="12" t="n">
        <v>80</v>
      </c>
      <c r="E12" s="12" t="n">
        <v>80</v>
      </c>
    </row>
    <row r="13" customFormat="false" ht="15" hidden="false" customHeight="false" outlineLevel="0" collapsed="false">
      <c r="A13" s="35" t="s">
        <v>108</v>
      </c>
      <c r="B13" s="40" t="n">
        <v>1</v>
      </c>
      <c r="C13" s="33" t="s">
        <v>109</v>
      </c>
      <c r="D13" s="36" t="n">
        <v>280</v>
      </c>
      <c r="E13" s="36" t="n">
        <v>280</v>
      </c>
    </row>
    <row r="15" customFormat="false" ht="15" hidden="false" customHeight="false" outlineLevel="0" collapsed="false">
      <c r="A15" s="50"/>
      <c r="B15" s="50"/>
      <c r="C15" s="50"/>
      <c r="D15" s="51" t="s">
        <v>110</v>
      </c>
      <c r="E15" s="42" t="n">
        <f aca="false">SUM(E12:E13)</f>
        <v>360</v>
      </c>
    </row>
    <row r="16" customFormat="false" ht="15" hidden="false" customHeight="false" outlineLevel="0" collapsed="false">
      <c r="A16" s="50"/>
      <c r="B16" s="50"/>
      <c r="C16" s="50"/>
      <c r="D16" s="51" t="s">
        <v>111</v>
      </c>
      <c r="E16" s="42" t="n">
        <f aca="false">E15*0.22</f>
        <v>79.2</v>
      </c>
    </row>
    <row r="17" customFormat="false" ht="15" hidden="false" customHeight="false" outlineLevel="0" collapsed="false">
      <c r="A17" s="50"/>
      <c r="B17" s="50"/>
      <c r="C17" s="50"/>
      <c r="D17" s="52" t="s">
        <v>112</v>
      </c>
      <c r="E17" s="14" t="n">
        <f aca="false">E15+E16</f>
        <v>439.2</v>
      </c>
    </row>
    <row r="20" customFormat="false" ht="15" hidden="false" customHeight="true" outlineLevel="0" collapsed="false">
      <c r="A20" s="53" t="s">
        <v>113</v>
      </c>
      <c r="B20" s="53"/>
      <c r="C20" s="53"/>
      <c r="D20" s="53"/>
      <c r="E20" s="53"/>
    </row>
  </sheetData>
  <mergeCells count="9">
    <mergeCell ref="A1:E1"/>
    <mergeCell ref="A2:E2"/>
    <mergeCell ref="B4:E4"/>
    <mergeCell ref="B5:E5"/>
    <mergeCell ref="B6:E6"/>
    <mergeCell ref="B7:E7"/>
    <mergeCell ref="B8:E8"/>
    <mergeCell ref="B9:E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0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7.35" hidden="false" customHeight="true" outlineLevel="0" collapsed="false">
      <c r="A1" s="46" t="s">
        <v>92</v>
      </c>
      <c r="B1" s="46"/>
      <c r="C1" s="46"/>
      <c r="D1" s="46"/>
      <c r="E1" s="46"/>
    </row>
    <row r="2" customFormat="false" ht="15" hidden="false" customHeight="true" outlineLevel="0" collapsed="false">
      <c r="A2" s="47" t="s">
        <v>93</v>
      </c>
      <c r="B2" s="47"/>
      <c r="C2" s="47"/>
      <c r="D2" s="47"/>
      <c r="E2" s="47"/>
    </row>
    <row r="4" customFormat="false" ht="18" hidden="false" customHeight="true" outlineLevel="0" collapsed="false">
      <c r="A4" s="48" t="s">
        <v>94</v>
      </c>
      <c r="B4" s="49" t="s">
        <v>62</v>
      </c>
      <c r="C4" s="49"/>
      <c r="D4" s="49"/>
      <c r="E4" s="49"/>
    </row>
    <row r="5" customFormat="false" ht="18" hidden="false" customHeight="true" outlineLevel="0" collapsed="false">
      <c r="A5" s="48" t="s">
        <v>95</v>
      </c>
      <c r="B5" s="49" t="s">
        <v>139</v>
      </c>
      <c r="C5" s="49"/>
      <c r="D5" s="49"/>
      <c r="E5" s="49"/>
    </row>
    <row r="6" customFormat="false" ht="18" hidden="false" customHeight="true" outlineLevel="0" collapsed="false">
      <c r="A6" s="48" t="s">
        <v>97</v>
      </c>
      <c r="B6" s="49" t="s">
        <v>11</v>
      </c>
      <c r="C6" s="49"/>
      <c r="D6" s="49"/>
      <c r="E6" s="49"/>
    </row>
    <row r="7" customFormat="false" ht="18" hidden="false" customHeight="true" outlineLevel="0" collapsed="false">
      <c r="A7" s="48" t="s">
        <v>98</v>
      </c>
      <c r="B7" s="49" t="s">
        <v>63</v>
      </c>
      <c r="C7" s="49"/>
      <c r="D7" s="49"/>
      <c r="E7" s="49"/>
    </row>
    <row r="8" customFormat="false" ht="18" hidden="false" customHeight="true" outlineLevel="0" collapsed="false">
      <c r="A8" s="48" t="s">
        <v>99</v>
      </c>
      <c r="B8" s="49" t="s">
        <v>64</v>
      </c>
      <c r="C8" s="49"/>
      <c r="D8" s="49"/>
      <c r="E8" s="49"/>
    </row>
    <row r="9" customFormat="false" ht="18" hidden="false" customHeight="true" outlineLevel="0" collapsed="false">
      <c r="A9" s="48" t="s">
        <v>100</v>
      </c>
      <c r="B9" s="49" t="s">
        <v>101</v>
      </c>
      <c r="C9" s="49"/>
      <c r="D9" s="49"/>
      <c r="E9" s="49"/>
    </row>
    <row r="11" customFormat="false" ht="21.75" hidden="false" customHeight="true" outlineLevel="0" collapsed="false">
      <c r="A11" s="3" t="s">
        <v>102</v>
      </c>
      <c r="B11" s="3" t="s">
        <v>103</v>
      </c>
      <c r="C11" s="3" t="s">
        <v>104</v>
      </c>
      <c r="D11" s="3" t="s">
        <v>105</v>
      </c>
      <c r="E11" s="3" t="s">
        <v>8</v>
      </c>
    </row>
    <row r="12" customFormat="false" ht="23.85" hidden="false" customHeight="false" outlineLevel="0" collapsed="false">
      <c r="A12" s="32" t="s">
        <v>140</v>
      </c>
      <c r="B12" s="11" t="n">
        <v>1</v>
      </c>
      <c r="C12" s="30" t="s">
        <v>107</v>
      </c>
      <c r="D12" s="12" t="n">
        <v>95</v>
      </c>
      <c r="E12" s="12" t="n">
        <v>95</v>
      </c>
    </row>
    <row r="13" customFormat="false" ht="15" hidden="false" customHeight="false" outlineLevel="0" collapsed="false">
      <c r="A13" s="35" t="s">
        <v>108</v>
      </c>
      <c r="B13" s="40" t="n">
        <v>1</v>
      </c>
      <c r="C13" s="33" t="s">
        <v>109</v>
      </c>
      <c r="D13" s="36" t="n">
        <v>75</v>
      </c>
      <c r="E13" s="36" t="n">
        <v>75</v>
      </c>
    </row>
    <row r="15" customFormat="false" ht="15" hidden="false" customHeight="false" outlineLevel="0" collapsed="false">
      <c r="A15" s="50"/>
      <c r="B15" s="50"/>
      <c r="C15" s="50"/>
      <c r="D15" s="51" t="s">
        <v>110</v>
      </c>
      <c r="E15" s="42" t="n">
        <f aca="false">SUM(E12:E13)</f>
        <v>170</v>
      </c>
    </row>
    <row r="16" customFormat="false" ht="15" hidden="false" customHeight="false" outlineLevel="0" collapsed="false">
      <c r="A16" s="50"/>
      <c r="B16" s="50"/>
      <c r="C16" s="50"/>
      <c r="D16" s="51" t="s">
        <v>111</v>
      </c>
      <c r="E16" s="42" t="n">
        <f aca="false">E15*0.22</f>
        <v>37.4</v>
      </c>
    </row>
    <row r="17" customFormat="false" ht="15" hidden="false" customHeight="false" outlineLevel="0" collapsed="false">
      <c r="A17" s="50"/>
      <c r="B17" s="50"/>
      <c r="C17" s="50"/>
      <c r="D17" s="52" t="s">
        <v>112</v>
      </c>
      <c r="E17" s="14" t="n">
        <f aca="false">E15+E16</f>
        <v>207.4</v>
      </c>
    </row>
    <row r="20" customFormat="false" ht="15" hidden="false" customHeight="true" outlineLevel="0" collapsed="false">
      <c r="A20" s="53" t="s">
        <v>113</v>
      </c>
      <c r="B20" s="53"/>
      <c r="C20" s="53"/>
      <c r="D20" s="53"/>
      <c r="E20" s="53"/>
    </row>
  </sheetData>
  <mergeCells count="9">
    <mergeCell ref="A1:E1"/>
    <mergeCell ref="A2:E2"/>
    <mergeCell ref="B4:E4"/>
    <mergeCell ref="B5:E5"/>
    <mergeCell ref="B6:E6"/>
    <mergeCell ref="B7:E7"/>
    <mergeCell ref="B8:E8"/>
    <mergeCell ref="B9:E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2026-05-04T22:55:16Z</dcterms:created>
  <dc:creator>openpyxl</dc:creator>
  <dc:description/>
  <dc:language>en-US</dc:language>
  <cp:lastModifiedBy/>
  <dcterms:modified xsi:type="dcterms:W3CDTF">2026-05-04T22:55:16Z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