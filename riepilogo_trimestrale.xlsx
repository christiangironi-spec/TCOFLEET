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ntesi per Categoria" sheetId="1" state="visible" r:id="rId3"/>
    <sheet name="Riepilogo Trimestrale" sheetId="2" state="visible" r:id="rId4"/>
    <sheet name="Dettaglio Contravvenzion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<sst xmlns="http://schemas.openxmlformats.org/spreadsheetml/2006/main" count="252" uniqueCount="153">
  <si>
    <t xml:space="preserve">SINTESI COSTI FLOTTA  –  Q2 2025  (1 Apr – 30 Giu 2025)</t>
  </si>
  <si>
    <t xml:space="preserve">QUADRO ECONOMICO TRIMESTRALE</t>
  </si>
  <si>
    <t xml:space="preserve">Voce di Costo</t>
  </si>
  <si>
    <t xml:space="preserve">Furgoni (€)</t>
  </si>
  <si>
    <t xml:space="preserve">Auto (€)</t>
  </si>
  <si>
    <t xml:space="preserve">Totale (€)</t>
  </si>
  <si>
    <t xml:space="preserve">% sul Totale</t>
  </si>
  <si>
    <t xml:space="preserve">Note</t>
  </si>
  <si>
    <t xml:space="preserve">Canoni Leasing</t>
  </si>
  <si>
    <t xml:space="preserve">3 mesi × canone contrattuale</t>
  </si>
  <si>
    <t xml:space="preserve">Extra Chilometraggio</t>
  </si>
  <si>
    <t xml:space="preserve">€ 0,12/km oltre contratto</t>
  </si>
  <si>
    <t xml:space="preserve">Carburante</t>
  </si>
  <si>
    <t xml:space="preserve">Diesel / Benzina / AdBlue</t>
  </si>
  <si>
    <t xml:space="preserve">Contravvenzioni</t>
  </si>
  <si>
    <t xml:space="preserve">Divieto di sosta art. 158 CdS</t>
  </si>
  <si>
    <t xml:space="preserve">TOTALE COMPLESSIVO</t>
  </si>
  <si>
    <t xml:space="preserve">100.0%</t>
  </si>
  <si>
    <t xml:space="preserve">⚠  5 veicoli (10% della flotta) hanno ricevuto contravvenzioni per divieto di sosta nel trimestre.  Le righe evidenziate in rosso nel foglio 'Riepilogo Trimestrale' identificano i veicoli interessati.</t>
  </si>
  <si>
    <t xml:space="preserve">RIEPILOGO COSTI FLOTTA AZIENDALE  –  Q2 2025</t>
  </si>
  <si>
    <t xml:space="preserve">Periodo: 1 Aprile 2025 – 30 Giugno 2025  |  Veicoli: 50  |  Elaborazione: 05/07/2025</t>
  </si>
  <si>
    <t xml:space="preserve">Targa</t>
  </si>
  <si>
    <t xml:space="preserve">Modello</t>
  </si>
  <si>
    <t xml:space="preserve">Tipo</t>
  </si>
  <si>
    <t xml:space="preserve">Canone Leasing (€)</t>
  </si>
  <si>
    <t xml:space="preserve">Extra KM (€)</t>
  </si>
  <si>
    <t xml:space="preserve">Carburante (€)</t>
  </si>
  <si>
    <t xml:space="preserve">N° Contravvenzioni</t>
  </si>
  <si>
    <t xml:space="preserve">Importo Multe (€)</t>
  </si>
  <si>
    <t xml:space="preserve">Totale Trimestre (€)</t>
  </si>
  <si>
    <t xml:space="preserve">FL123AB</t>
  </si>
  <si>
    <t xml:space="preserve">Fiat Doblò Cargo 1.6 MJT</t>
  </si>
  <si>
    <t xml:space="preserve">Furgone</t>
  </si>
  <si>
    <t xml:space="preserve">FL456CD</t>
  </si>
  <si>
    <t xml:space="preserve">Volkswagen Transporter T6 2.0 TDI</t>
  </si>
  <si>
    <t xml:space="preserve">FL789EF</t>
  </si>
  <si>
    <t xml:space="preserve">Ford Transit Custom 2.0 EcoBlue</t>
  </si>
  <si>
    <t xml:space="preserve">FL321GH</t>
  </si>
  <si>
    <t xml:space="preserve">Renault Trafic 1.6 dCi</t>
  </si>
  <si>
    <t xml:space="preserve">FL654IJ</t>
  </si>
  <si>
    <t xml:space="preserve">Fiat Fiorino 1.3 MJT</t>
  </si>
  <si>
    <t xml:space="preserve">FL987KL</t>
  </si>
  <si>
    <t xml:space="preserve">Mercedes-Benz Sprinter 314 CDI</t>
  </si>
  <si>
    <t xml:space="preserve">1 multa/e divieto di sosta</t>
  </si>
  <si>
    <t xml:space="preserve">FL147MN</t>
  </si>
  <si>
    <t xml:space="preserve">Peugeot Partner 1.5 BlueHDi</t>
  </si>
  <si>
    <t xml:space="preserve">FL258OP</t>
  </si>
  <si>
    <t xml:space="preserve">Citroën Berlingo 1.5 BlueHDi</t>
  </si>
  <si>
    <t xml:space="preserve">FL369QR</t>
  </si>
  <si>
    <t xml:space="preserve">Opel Vivaro 1.5 CDTI</t>
  </si>
  <si>
    <t xml:space="preserve">FL741ST</t>
  </si>
  <si>
    <t xml:space="preserve">Ford Transit 2.0 EcoBlue 130</t>
  </si>
  <si>
    <t xml:space="preserve">FL852UV</t>
  </si>
  <si>
    <t xml:space="preserve">Volkswagen Caddy 2.0 TDI</t>
  </si>
  <si>
    <t xml:space="preserve">FL963WX</t>
  </si>
  <si>
    <t xml:space="preserve">Fiat Ducato 2.3 MJT 140</t>
  </si>
  <si>
    <t xml:space="preserve">FL159YZ</t>
  </si>
  <si>
    <t xml:space="preserve">Renault Master 2.3 dCi</t>
  </si>
  <si>
    <t xml:space="preserve">4 multa/e divieto di sosta</t>
  </si>
  <si>
    <t xml:space="preserve">GH111AB</t>
  </si>
  <si>
    <t xml:space="preserve">Mercedes-Benz Vito 114 CDI</t>
  </si>
  <si>
    <t xml:space="preserve">GH222CD</t>
  </si>
  <si>
    <t xml:space="preserve">Iveco Daily 35S14</t>
  </si>
  <si>
    <t xml:space="preserve">GH333EF</t>
  </si>
  <si>
    <t xml:space="preserve">Peugeot Boxer 2.2 BlueHDi</t>
  </si>
  <si>
    <t xml:space="preserve">GH444GH</t>
  </si>
  <si>
    <t xml:space="preserve">Toyota Proace 2.0 D-4D</t>
  </si>
  <si>
    <t xml:space="preserve">GH555IJ</t>
  </si>
  <si>
    <t xml:space="preserve">Nissan NV300 1.6 dCi</t>
  </si>
  <si>
    <t xml:space="preserve">GH666KL</t>
  </si>
  <si>
    <t xml:space="preserve">Volkswagen Crafter 2.0 TDI</t>
  </si>
  <si>
    <t xml:space="preserve">GH777MN</t>
  </si>
  <si>
    <t xml:space="preserve">Fiat Talento 1.6 EcoJet</t>
  </si>
  <si>
    <t xml:space="preserve">3 multa/e divieto di sosta</t>
  </si>
  <si>
    <t xml:space="preserve">MM100OP</t>
  </si>
  <si>
    <t xml:space="preserve">Fiat Panda 1.2</t>
  </si>
  <si>
    <t xml:space="preserve">Auto</t>
  </si>
  <si>
    <t xml:space="preserve">MM200QR</t>
  </si>
  <si>
    <t xml:space="preserve">Volkswagen Golf 1.6 TDI</t>
  </si>
  <si>
    <t xml:space="preserve">MM300ST</t>
  </si>
  <si>
    <t xml:space="preserve">Ford Focus 1.5 EcoBlue</t>
  </si>
  <si>
    <t xml:space="preserve">MM400UV</t>
  </si>
  <si>
    <t xml:space="preserve">Renault Clio 1.5 dCi</t>
  </si>
  <si>
    <t xml:space="preserve">MM500WX</t>
  </si>
  <si>
    <t xml:space="preserve">Toyota Yaris 1.5 Hybrid</t>
  </si>
  <si>
    <t xml:space="preserve">MM600YZ</t>
  </si>
  <si>
    <t xml:space="preserve">Opel Corsa 1.2 Turbo</t>
  </si>
  <si>
    <t xml:space="preserve">MM700AB</t>
  </si>
  <si>
    <t xml:space="preserve">Škoda Octavia 2.0 TDI</t>
  </si>
  <si>
    <t xml:space="preserve">MM800CD</t>
  </si>
  <si>
    <t xml:space="preserve">Hyundai i30 1.6 CRDi</t>
  </si>
  <si>
    <t xml:space="preserve">MM900EF</t>
  </si>
  <si>
    <t xml:space="preserve">Kia Ceed 1.4 T-GDI</t>
  </si>
  <si>
    <t xml:space="preserve">MM010GH</t>
  </si>
  <si>
    <t xml:space="preserve">Dacia Sandero 1.0 TCe</t>
  </si>
  <si>
    <t xml:space="preserve">RM111IJ</t>
  </si>
  <si>
    <t xml:space="preserve">Volkswagen Passat 2.0 TDI</t>
  </si>
  <si>
    <t xml:space="preserve">RM222KL</t>
  </si>
  <si>
    <t xml:space="preserve">BMW 318d</t>
  </si>
  <si>
    <t xml:space="preserve">RM333MN</t>
  </si>
  <si>
    <t xml:space="preserve">Audi A4 2.0 TDI</t>
  </si>
  <si>
    <t xml:space="preserve">RM444OP</t>
  </si>
  <si>
    <t xml:space="preserve">Mercedes-Benz Classe C 200d</t>
  </si>
  <si>
    <t xml:space="preserve">RM555QR</t>
  </si>
  <si>
    <t xml:space="preserve">Volvo V60 D3</t>
  </si>
  <si>
    <t xml:space="preserve">RM666ST</t>
  </si>
  <si>
    <t xml:space="preserve">Toyota Corolla 1.8 Hybrid</t>
  </si>
  <si>
    <t xml:space="preserve">RM777UV</t>
  </si>
  <si>
    <t xml:space="preserve">Ford Mondeo 2.0 EcoBlue</t>
  </si>
  <si>
    <t xml:space="preserve">RM888WX</t>
  </si>
  <si>
    <t xml:space="preserve">Škoda Superb 2.0 TDI</t>
  </si>
  <si>
    <t xml:space="preserve">RM999YZ</t>
  </si>
  <si>
    <t xml:space="preserve">Peugeot 508 1.5 BlueHDi</t>
  </si>
  <si>
    <t xml:space="preserve">RM010AB</t>
  </si>
  <si>
    <t xml:space="preserve">Citroën C5 Aircross 1.5 BlueHDi</t>
  </si>
  <si>
    <t xml:space="preserve">TO101CD</t>
  </si>
  <si>
    <t xml:space="preserve">Renault Megane 1.5 dCi</t>
  </si>
  <si>
    <t xml:space="preserve">TO202EF</t>
  </si>
  <si>
    <t xml:space="preserve">Fiat Tipo 1.6 MJT</t>
  </si>
  <si>
    <t xml:space="preserve">TO303GH</t>
  </si>
  <si>
    <t xml:space="preserve">Opel Astra 1.5 CDTI</t>
  </si>
  <si>
    <t xml:space="preserve">TO404IJ</t>
  </si>
  <si>
    <t xml:space="preserve">Seat Leon 2.0 TDI</t>
  </si>
  <si>
    <t xml:space="preserve">TO505KL</t>
  </si>
  <si>
    <t xml:space="preserve">Mazda 6 2.2 Skyactiv-D</t>
  </si>
  <si>
    <t xml:space="preserve">TO606MN</t>
  </si>
  <si>
    <t xml:space="preserve">Honda CR-V 1.6 i-DTEC</t>
  </si>
  <si>
    <t xml:space="preserve">TO707OP</t>
  </si>
  <si>
    <t xml:space="preserve">Volkswagen Tiguan 2.0 TDI</t>
  </si>
  <si>
    <t xml:space="preserve">TO808QR</t>
  </si>
  <si>
    <t xml:space="preserve">Ford Kuga 2.0 EcoBlue</t>
  </si>
  <si>
    <t xml:space="preserve">2 multa/e divieto di sosta</t>
  </si>
  <si>
    <t xml:space="preserve">TO909ST</t>
  </si>
  <si>
    <t xml:space="preserve">Peugeot 3008 1.5 BlueHDi</t>
  </si>
  <si>
    <t xml:space="preserve">TO010UV</t>
  </si>
  <si>
    <t xml:space="preserve">Nissan Qashqai 1.5 dCi</t>
  </si>
  <si>
    <t xml:space="preserve">TOTALE FLOTTA</t>
  </si>
  <si>
    <t xml:space="preserve">DETTAGLIO CONTRAVVENZIONI – DIVIETO DI SOSTA  –  Q2 2025</t>
  </si>
  <si>
    <t xml:space="preserve">Importo unitario multa: € 41.00  |  Veicoli coinvolti: 5 (10% della flotta)</t>
  </si>
  <si>
    <t xml:space="preserve">Data Verbale</t>
  </si>
  <si>
    <t xml:space="preserve">Comune</t>
  </si>
  <si>
    <t xml:space="preserve">Infrazione</t>
  </si>
  <si>
    <t xml:space="preserve">Importo (€)</t>
  </si>
  <si>
    <t xml:space="preserve">Bologna</t>
  </si>
  <si>
    <t xml:space="preserve">Divieto di sosta (art. 158 CdS)</t>
  </si>
  <si>
    <t xml:space="preserve">Genova</t>
  </si>
  <si>
    <t xml:space="preserve">Firenze</t>
  </si>
  <si>
    <t xml:space="preserve">Roma</t>
  </si>
  <si>
    <t xml:space="preserve">Venezia</t>
  </si>
  <si>
    <t xml:space="preserve">Palermo</t>
  </si>
  <si>
    <t xml:space="preserve">Napoli</t>
  </si>
  <si>
    <t xml:space="preserve">Milano</t>
  </si>
  <si>
    <t xml:space="preserve">TOTALE CONTRAVVENZIONI  –  11 verbali su 5 veicoli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</si>
</sst>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,##0.00"/>
    <numFmt numFmtId="167" formatCode="0.0%"/>
    <numFmt numFmtId="168" formatCode="0"/>
    <numFmt numFmtId="169" formatCode="dd/mm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6E4F0"/>
        <bgColor rgb="FFBDD7EE"/>
      </patternFill>
    </fill>
    <fill>
      <patternFill patternType="solid">
        <fgColor rgb="FFFFFFFF"/>
        <bgColor rgb="FFFCE4D6"/>
      </patternFill>
    </fill>
    <fill>
      <patternFill patternType="solid">
        <fgColor rgb="FFFCE4D6"/>
        <bgColor rgb="FFD6E4F0"/>
      </patternFill>
    </fill>
    <fill>
      <patternFill patternType="solid">
        <fgColor rgb="FFBDD7EE"/>
        <bgColor rgb="FFD6E4F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medium">
        <color rgb="FF1F4E79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medium">
        <color rgb="FF1F4E79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6"/>
    <col collapsed="false" customWidth="true" hidden="false" outlineLevel="0" max="5" min="5" style="0" width="12"/>
    <col collapsed="false" customWidth="true" hidden="false" outlineLevel="0" max="6" min="6" style="0" width="3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24420</v>
      </c>
      <c r="C5" s="5" t="n">
        <v>33195</v>
      </c>
      <c r="D5" s="5" t="n">
        <f aca="false">B5+C5</f>
        <v>57615</v>
      </c>
      <c r="E5" s="6" t="n">
        <f aca="false">D5/D9</f>
        <v>0.316299859843176</v>
      </c>
      <c r="F5" s="4" t="s">
        <v>9</v>
      </c>
    </row>
    <row r="6" customFormat="false" ht="15" hidden="false" customHeight="false" outlineLevel="0" collapsed="false">
      <c r="A6" s="7" t="s">
        <v>10</v>
      </c>
      <c r="B6" s="8" t="n">
        <v>408.36</v>
      </c>
      <c r="C6" s="8" t="n">
        <v>920.28</v>
      </c>
      <c r="D6" s="8" t="n">
        <f aca="false">B6+C6</f>
        <v>1328.64</v>
      </c>
      <c r="E6" s="9" t="n">
        <f aca="false">D6/D9</f>
        <v>0.00729408393269178</v>
      </c>
      <c r="F6" s="7" t="s">
        <v>11</v>
      </c>
    </row>
    <row r="7" customFormat="false" ht="15" hidden="false" customHeight="false" outlineLevel="0" collapsed="false">
      <c r="A7" s="4" t="s">
        <v>12</v>
      </c>
      <c r="B7" s="5" t="n">
        <v>48822.43</v>
      </c>
      <c r="C7" s="5" t="n">
        <v>73936.03</v>
      </c>
      <c r="D7" s="5" t="n">
        <f aca="false">B7+C7</f>
        <v>122758.46</v>
      </c>
      <c r="E7" s="6" t="n">
        <f aca="false">D7/D9</f>
        <v>0.673930117027929</v>
      </c>
      <c r="F7" s="4" t="s">
        <v>13</v>
      </c>
    </row>
    <row r="8" customFormat="false" ht="15" hidden="false" customHeight="false" outlineLevel="0" collapsed="false">
      <c r="A8" s="7" t="s">
        <v>14</v>
      </c>
      <c r="B8" s="8" t="n">
        <v>369</v>
      </c>
      <c r="C8" s="8" t="n">
        <v>82</v>
      </c>
      <c r="D8" s="8" t="n">
        <f aca="false">B8+C8</f>
        <v>451</v>
      </c>
      <c r="E8" s="9" t="n">
        <f aca="false">D8/D9</f>
        <v>0.00247593919620363</v>
      </c>
      <c r="F8" s="7" t="s">
        <v>15</v>
      </c>
    </row>
    <row r="9" customFormat="false" ht="15" hidden="false" customHeight="false" outlineLevel="0" collapsed="false">
      <c r="A9" s="10" t="s">
        <v>16</v>
      </c>
      <c r="B9" s="11" t="n">
        <f aca="false">SUM(B5:B8)</f>
        <v>74019.79</v>
      </c>
      <c r="C9" s="11" t="n">
        <f aca="false">SUM(C5:C8)</f>
        <v>108133.31</v>
      </c>
      <c r="D9" s="11" t="n">
        <f aca="false">SUM(D5:D8)</f>
        <v>182153.1</v>
      </c>
      <c r="E9" s="12" t="s">
        <v>17</v>
      </c>
      <c r="F9" s="13"/>
    </row>
    <row r="11" customFormat="false" ht="30" hidden="false" customHeight="true" outlineLevel="0" collapsed="false">
      <c r="A11" s="14" t="s">
        <v>18</v>
      </c>
      <c r="B11" s="14"/>
      <c r="C11" s="14"/>
      <c r="D11" s="14"/>
      <c r="E11" s="14"/>
      <c r="F11" s="14"/>
    </row>
  </sheetData>
  <mergeCells count="3">
    <mergeCell ref="A1:F1"/>
    <mergeCell ref="A3:F3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28"/>
  </cols>
  <sheetData>
    <row r="1" customFormat="false" ht="31.5" hidden="false" customHeight="true" outlineLevel="0" collapsed="false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15" t="s">
        <v>20</v>
      </c>
      <c r="B2" s="15"/>
      <c r="C2" s="15"/>
      <c r="D2" s="15"/>
      <c r="E2" s="15"/>
      <c r="F2" s="15"/>
      <c r="G2" s="15"/>
      <c r="H2" s="15"/>
      <c r="I2" s="15"/>
      <c r="J2" s="15"/>
    </row>
    <row r="4" customFormat="false" ht="36" hidden="false" customHeight="tru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7</v>
      </c>
    </row>
    <row r="5" customFormat="false" ht="15" hidden="false" customHeight="false" outlineLevel="0" collapsed="false">
      <c r="A5" s="16" t="s">
        <v>30</v>
      </c>
      <c r="B5" s="4" t="s">
        <v>31</v>
      </c>
      <c r="C5" s="16" t="s">
        <v>32</v>
      </c>
      <c r="D5" s="5" t="n">
        <v>960</v>
      </c>
      <c r="E5" s="5" t="n">
        <v>0</v>
      </c>
      <c r="F5" s="5" t="n">
        <v>2647.67</v>
      </c>
      <c r="G5" s="17" t="n">
        <v>0</v>
      </c>
      <c r="H5" s="5" t="n">
        <v>0</v>
      </c>
      <c r="I5" s="5" t="n">
        <f aca="false">D5+E5+F5+H5</f>
        <v>3607.67</v>
      </c>
      <c r="J5" s="4"/>
    </row>
    <row r="6" customFormat="false" ht="15" hidden="false" customHeight="false" outlineLevel="0" collapsed="false">
      <c r="A6" s="18" t="s">
        <v>33</v>
      </c>
      <c r="B6" s="7" t="s">
        <v>34</v>
      </c>
      <c r="C6" s="18" t="s">
        <v>32</v>
      </c>
      <c r="D6" s="8" t="n">
        <v>1440</v>
      </c>
      <c r="E6" s="8" t="n">
        <v>0</v>
      </c>
      <c r="F6" s="8" t="n">
        <v>2354.66</v>
      </c>
      <c r="G6" s="19" t="n">
        <v>0</v>
      </c>
      <c r="H6" s="8" t="n">
        <v>0</v>
      </c>
      <c r="I6" s="8" t="n">
        <f aca="false">D6+E6+F6+H6</f>
        <v>3794.66</v>
      </c>
      <c r="J6" s="7"/>
    </row>
    <row r="7" customFormat="false" ht="15" hidden="false" customHeight="false" outlineLevel="0" collapsed="false">
      <c r="A7" s="16" t="s">
        <v>35</v>
      </c>
      <c r="B7" s="4" t="s">
        <v>36</v>
      </c>
      <c r="C7" s="16" t="s">
        <v>32</v>
      </c>
      <c r="D7" s="5" t="n">
        <v>1320</v>
      </c>
      <c r="E7" s="5" t="n">
        <v>112.68</v>
      </c>
      <c r="F7" s="5" t="n">
        <v>2092.88</v>
      </c>
      <c r="G7" s="17" t="n">
        <v>0</v>
      </c>
      <c r="H7" s="5" t="n">
        <v>0</v>
      </c>
      <c r="I7" s="5" t="n">
        <f aca="false">D7+E7+F7+H7</f>
        <v>3525.56</v>
      </c>
      <c r="J7" s="4"/>
    </row>
    <row r="8" customFormat="false" ht="15" hidden="false" customHeight="false" outlineLevel="0" collapsed="false">
      <c r="A8" s="18" t="s">
        <v>37</v>
      </c>
      <c r="B8" s="7" t="s">
        <v>38</v>
      </c>
      <c r="C8" s="18" t="s">
        <v>32</v>
      </c>
      <c r="D8" s="8" t="n">
        <v>1110</v>
      </c>
      <c r="E8" s="8" t="n">
        <v>0</v>
      </c>
      <c r="F8" s="8" t="n">
        <v>2813.1</v>
      </c>
      <c r="G8" s="19" t="n">
        <v>0</v>
      </c>
      <c r="H8" s="8" t="n">
        <v>0</v>
      </c>
      <c r="I8" s="8" t="n">
        <f aca="false">D8+E8+F8+H8</f>
        <v>3923.1</v>
      </c>
      <c r="J8" s="7"/>
    </row>
    <row r="9" customFormat="false" ht="15" hidden="false" customHeight="false" outlineLevel="0" collapsed="false">
      <c r="A9" s="16" t="s">
        <v>39</v>
      </c>
      <c r="B9" s="4" t="s">
        <v>40</v>
      </c>
      <c r="C9" s="16" t="s">
        <v>32</v>
      </c>
      <c r="D9" s="5" t="n">
        <v>690</v>
      </c>
      <c r="E9" s="5" t="n">
        <v>0</v>
      </c>
      <c r="F9" s="5" t="n">
        <v>3131.5</v>
      </c>
      <c r="G9" s="17" t="n">
        <v>0</v>
      </c>
      <c r="H9" s="5" t="n">
        <v>0</v>
      </c>
      <c r="I9" s="5" t="n">
        <f aca="false">D9+E9+F9+H9</f>
        <v>3821.5</v>
      </c>
      <c r="J9" s="4"/>
    </row>
    <row r="10" customFormat="false" ht="15" hidden="false" customHeight="false" outlineLevel="0" collapsed="false">
      <c r="A10" s="20" t="s">
        <v>41</v>
      </c>
      <c r="B10" s="21" t="s">
        <v>42</v>
      </c>
      <c r="C10" s="20" t="s">
        <v>32</v>
      </c>
      <c r="D10" s="22" t="n">
        <v>1860</v>
      </c>
      <c r="E10" s="22" t="n">
        <v>40.68</v>
      </c>
      <c r="F10" s="22" t="n">
        <v>3026.71</v>
      </c>
      <c r="G10" s="23" t="n">
        <v>1</v>
      </c>
      <c r="H10" s="22" t="n">
        <v>41</v>
      </c>
      <c r="I10" s="22" t="n">
        <f aca="false">D10+E10+F10+H10</f>
        <v>4968.39</v>
      </c>
      <c r="J10" s="21" t="s">
        <v>43</v>
      </c>
    </row>
    <row r="11" customFormat="false" ht="15" hidden="false" customHeight="false" outlineLevel="0" collapsed="false">
      <c r="A11" s="16" t="s">
        <v>44</v>
      </c>
      <c r="B11" s="4" t="s">
        <v>45</v>
      </c>
      <c r="C11" s="16" t="s">
        <v>32</v>
      </c>
      <c r="D11" s="5" t="n">
        <v>840</v>
      </c>
      <c r="E11" s="5" t="n">
        <v>0</v>
      </c>
      <c r="F11" s="5" t="n">
        <v>3118.52</v>
      </c>
      <c r="G11" s="17" t="n">
        <v>0</v>
      </c>
      <c r="H11" s="5" t="n">
        <v>0</v>
      </c>
      <c r="I11" s="5" t="n">
        <f aca="false">D11+E11+F11+H11</f>
        <v>3958.52</v>
      </c>
      <c r="J11" s="4"/>
    </row>
    <row r="12" customFormat="false" ht="15" hidden="false" customHeight="false" outlineLevel="0" collapsed="false">
      <c r="A12" s="18" t="s">
        <v>46</v>
      </c>
      <c r="B12" s="7" t="s">
        <v>47</v>
      </c>
      <c r="C12" s="18" t="s">
        <v>32</v>
      </c>
      <c r="D12" s="8" t="n">
        <v>825</v>
      </c>
      <c r="E12" s="8" t="n">
        <v>0</v>
      </c>
      <c r="F12" s="8" t="n">
        <v>1477.96</v>
      </c>
      <c r="G12" s="19" t="n">
        <v>0</v>
      </c>
      <c r="H12" s="8" t="n">
        <v>0</v>
      </c>
      <c r="I12" s="8" t="n">
        <f aca="false">D12+E12+F12+H12</f>
        <v>2302.96</v>
      </c>
      <c r="J12" s="7"/>
    </row>
    <row r="13" customFormat="false" ht="15" hidden="false" customHeight="false" outlineLevel="0" collapsed="false">
      <c r="A13" s="16" t="s">
        <v>48</v>
      </c>
      <c r="B13" s="4" t="s">
        <v>49</v>
      </c>
      <c r="C13" s="16" t="s">
        <v>32</v>
      </c>
      <c r="D13" s="5" t="n">
        <v>1170</v>
      </c>
      <c r="E13" s="5" t="n">
        <v>0</v>
      </c>
      <c r="F13" s="5" t="n">
        <v>2883.89</v>
      </c>
      <c r="G13" s="17" t="n">
        <v>0</v>
      </c>
      <c r="H13" s="5" t="n">
        <v>0</v>
      </c>
      <c r="I13" s="5" t="n">
        <f aca="false">D13+E13+F13+H13</f>
        <v>4053.89</v>
      </c>
      <c r="J13" s="4"/>
    </row>
    <row r="14" customFormat="false" ht="15" hidden="false" customHeight="false" outlineLevel="0" collapsed="false">
      <c r="A14" s="20" t="s">
        <v>50</v>
      </c>
      <c r="B14" s="21" t="s">
        <v>51</v>
      </c>
      <c r="C14" s="20" t="s">
        <v>32</v>
      </c>
      <c r="D14" s="22" t="n">
        <v>1290</v>
      </c>
      <c r="E14" s="22" t="n">
        <v>0</v>
      </c>
      <c r="F14" s="22" t="n">
        <v>3261.63</v>
      </c>
      <c r="G14" s="23" t="n">
        <v>1</v>
      </c>
      <c r="H14" s="22" t="n">
        <v>41</v>
      </c>
      <c r="I14" s="22" t="n">
        <f aca="false">D14+E14+F14+H14</f>
        <v>4592.63</v>
      </c>
      <c r="J14" s="21" t="s">
        <v>43</v>
      </c>
    </row>
    <row r="15" customFormat="false" ht="15" hidden="false" customHeight="false" outlineLevel="0" collapsed="false">
      <c r="A15" s="16" t="s">
        <v>52</v>
      </c>
      <c r="B15" s="4" t="s">
        <v>53</v>
      </c>
      <c r="C15" s="16" t="s">
        <v>32</v>
      </c>
      <c r="D15" s="5" t="n">
        <v>1020</v>
      </c>
      <c r="E15" s="5" t="n">
        <v>0</v>
      </c>
      <c r="F15" s="5" t="n">
        <v>1986.42</v>
      </c>
      <c r="G15" s="17" t="n">
        <v>0</v>
      </c>
      <c r="H15" s="5" t="n">
        <v>0</v>
      </c>
      <c r="I15" s="5" t="n">
        <f aca="false">D15+E15+F15+H15</f>
        <v>3006.42</v>
      </c>
      <c r="J15" s="4"/>
    </row>
    <row r="16" customFormat="false" ht="15" hidden="false" customHeight="false" outlineLevel="0" collapsed="false">
      <c r="A16" s="18" t="s">
        <v>54</v>
      </c>
      <c r="B16" s="7" t="s">
        <v>55</v>
      </c>
      <c r="C16" s="18" t="s">
        <v>32</v>
      </c>
      <c r="D16" s="8" t="n">
        <v>1230</v>
      </c>
      <c r="E16" s="8" t="n">
        <v>0</v>
      </c>
      <c r="F16" s="8" t="n">
        <v>1973.28</v>
      </c>
      <c r="G16" s="19" t="n">
        <v>0</v>
      </c>
      <c r="H16" s="8" t="n">
        <v>0</v>
      </c>
      <c r="I16" s="8" t="n">
        <f aca="false">D16+E16+F16+H16</f>
        <v>3203.28</v>
      </c>
      <c r="J16" s="7"/>
    </row>
    <row r="17" customFormat="false" ht="15" hidden="false" customHeight="false" outlineLevel="0" collapsed="false">
      <c r="A17" s="20" t="s">
        <v>56</v>
      </c>
      <c r="B17" s="21" t="s">
        <v>57</v>
      </c>
      <c r="C17" s="20" t="s">
        <v>32</v>
      </c>
      <c r="D17" s="22" t="n">
        <v>1380</v>
      </c>
      <c r="E17" s="22" t="n">
        <v>0</v>
      </c>
      <c r="F17" s="22" t="n">
        <v>1586.87</v>
      </c>
      <c r="G17" s="23" t="n">
        <v>4</v>
      </c>
      <c r="H17" s="22" t="n">
        <v>164</v>
      </c>
      <c r="I17" s="22" t="n">
        <f aca="false">D17+E17+F17+H17</f>
        <v>3130.87</v>
      </c>
      <c r="J17" s="21" t="s">
        <v>58</v>
      </c>
    </row>
    <row r="18" customFormat="false" ht="15" hidden="false" customHeight="false" outlineLevel="0" collapsed="false">
      <c r="A18" s="18" t="s">
        <v>59</v>
      </c>
      <c r="B18" s="7" t="s">
        <v>60</v>
      </c>
      <c r="C18" s="18" t="s">
        <v>32</v>
      </c>
      <c r="D18" s="8" t="n">
        <v>1650</v>
      </c>
      <c r="E18" s="8" t="n">
        <v>0</v>
      </c>
      <c r="F18" s="8" t="n">
        <v>2851.86</v>
      </c>
      <c r="G18" s="19" t="n">
        <v>0</v>
      </c>
      <c r="H18" s="8" t="n">
        <v>0</v>
      </c>
      <c r="I18" s="8" t="n">
        <f aca="false">D18+E18+F18+H18</f>
        <v>4501.86</v>
      </c>
      <c r="J18" s="7"/>
    </row>
    <row r="19" customFormat="false" ht="15" hidden="false" customHeight="false" outlineLevel="0" collapsed="false">
      <c r="A19" s="16" t="s">
        <v>61</v>
      </c>
      <c r="B19" s="4" t="s">
        <v>62</v>
      </c>
      <c r="C19" s="16" t="s">
        <v>32</v>
      </c>
      <c r="D19" s="5" t="n">
        <v>1470</v>
      </c>
      <c r="E19" s="5" t="n">
        <v>0</v>
      </c>
      <c r="F19" s="5" t="n">
        <v>2243.3</v>
      </c>
      <c r="G19" s="17" t="n">
        <v>0</v>
      </c>
      <c r="H19" s="5" t="n">
        <v>0</v>
      </c>
      <c r="I19" s="5" t="n">
        <f aca="false">D19+E19+F19+H19</f>
        <v>3713.3</v>
      </c>
      <c r="J19" s="4"/>
    </row>
    <row r="20" customFormat="false" ht="15" hidden="false" customHeight="false" outlineLevel="0" collapsed="false">
      <c r="A20" s="18" t="s">
        <v>63</v>
      </c>
      <c r="B20" s="7" t="s">
        <v>64</v>
      </c>
      <c r="C20" s="18" t="s">
        <v>32</v>
      </c>
      <c r="D20" s="8" t="n">
        <v>1200</v>
      </c>
      <c r="E20" s="8" t="n">
        <v>118.08</v>
      </c>
      <c r="F20" s="8" t="n">
        <v>2426.67</v>
      </c>
      <c r="G20" s="19" t="n">
        <v>0</v>
      </c>
      <c r="H20" s="8" t="n">
        <v>0</v>
      </c>
      <c r="I20" s="8" t="n">
        <f aca="false">D20+E20+F20+H20</f>
        <v>3744.75</v>
      </c>
      <c r="J20" s="7"/>
    </row>
    <row r="21" customFormat="false" ht="15" hidden="false" customHeight="false" outlineLevel="0" collapsed="false">
      <c r="A21" s="16" t="s">
        <v>65</v>
      </c>
      <c r="B21" s="4" t="s">
        <v>66</v>
      </c>
      <c r="C21" s="16" t="s">
        <v>32</v>
      </c>
      <c r="D21" s="5" t="n">
        <v>1260</v>
      </c>
      <c r="E21" s="5" t="n">
        <v>0</v>
      </c>
      <c r="F21" s="5" t="n">
        <v>2652.43</v>
      </c>
      <c r="G21" s="17" t="n">
        <v>0</v>
      </c>
      <c r="H21" s="5" t="n">
        <v>0</v>
      </c>
      <c r="I21" s="5" t="n">
        <f aca="false">D21+E21+F21+H21</f>
        <v>3912.43</v>
      </c>
      <c r="J21" s="4"/>
    </row>
    <row r="22" customFormat="false" ht="15" hidden="false" customHeight="false" outlineLevel="0" collapsed="false">
      <c r="A22" s="18" t="s">
        <v>67</v>
      </c>
      <c r="B22" s="7" t="s">
        <v>68</v>
      </c>
      <c r="C22" s="18" t="s">
        <v>32</v>
      </c>
      <c r="D22" s="8" t="n">
        <v>1080</v>
      </c>
      <c r="E22" s="8" t="n">
        <v>136.92</v>
      </c>
      <c r="F22" s="8" t="n">
        <v>3193.3</v>
      </c>
      <c r="G22" s="19" t="n">
        <v>0</v>
      </c>
      <c r="H22" s="8" t="n">
        <v>0</v>
      </c>
      <c r="I22" s="8" t="n">
        <f aca="false">D22+E22+F22+H22</f>
        <v>4410.22</v>
      </c>
      <c r="J22" s="7"/>
    </row>
    <row r="23" customFormat="false" ht="15" hidden="false" customHeight="false" outlineLevel="0" collapsed="false">
      <c r="A23" s="16" t="s">
        <v>69</v>
      </c>
      <c r="B23" s="4" t="s">
        <v>70</v>
      </c>
      <c r="C23" s="16" t="s">
        <v>32</v>
      </c>
      <c r="D23" s="5" t="n">
        <v>1590</v>
      </c>
      <c r="E23" s="5" t="n">
        <v>0</v>
      </c>
      <c r="F23" s="5" t="n">
        <v>3186.98</v>
      </c>
      <c r="G23" s="17" t="n">
        <v>0</v>
      </c>
      <c r="H23" s="5" t="n">
        <v>0</v>
      </c>
      <c r="I23" s="5" t="n">
        <f aca="false">D23+E23+F23+H23</f>
        <v>4776.98</v>
      </c>
      <c r="J23" s="4"/>
    </row>
    <row r="24" customFormat="false" ht="15" hidden="false" customHeight="false" outlineLevel="0" collapsed="false">
      <c r="A24" s="20" t="s">
        <v>71</v>
      </c>
      <c r="B24" s="21" t="s">
        <v>72</v>
      </c>
      <c r="C24" s="20" t="s">
        <v>32</v>
      </c>
      <c r="D24" s="22" t="n">
        <v>1035</v>
      </c>
      <c r="E24" s="22" t="n">
        <v>0</v>
      </c>
      <c r="F24" s="22" t="n">
        <v>2777.93</v>
      </c>
      <c r="G24" s="23" t="n">
        <v>3</v>
      </c>
      <c r="H24" s="22" t="n">
        <v>123</v>
      </c>
      <c r="I24" s="22" t="n">
        <f aca="false">D24+E24+F24+H24</f>
        <v>3935.93</v>
      </c>
      <c r="J24" s="21" t="s">
        <v>73</v>
      </c>
    </row>
    <row r="25" customFormat="false" ht="15" hidden="false" customHeight="false" outlineLevel="0" collapsed="false">
      <c r="A25" s="16" t="s">
        <v>74</v>
      </c>
      <c r="B25" s="4" t="s">
        <v>75</v>
      </c>
      <c r="C25" s="16" t="s">
        <v>76</v>
      </c>
      <c r="D25" s="5" t="n">
        <v>555</v>
      </c>
      <c r="E25" s="5" t="n">
        <v>0</v>
      </c>
      <c r="F25" s="5" t="n">
        <v>1374.07</v>
      </c>
      <c r="G25" s="17" t="n">
        <v>0</v>
      </c>
      <c r="H25" s="5" t="n">
        <v>0</v>
      </c>
      <c r="I25" s="5" t="n">
        <f aca="false">D25+E25+F25+H25</f>
        <v>1929.07</v>
      </c>
      <c r="J25" s="4"/>
    </row>
    <row r="26" customFormat="false" ht="15" hidden="false" customHeight="false" outlineLevel="0" collapsed="false">
      <c r="A26" s="18" t="s">
        <v>77</v>
      </c>
      <c r="B26" s="7" t="s">
        <v>78</v>
      </c>
      <c r="C26" s="18" t="s">
        <v>76</v>
      </c>
      <c r="D26" s="8" t="n">
        <v>870</v>
      </c>
      <c r="E26" s="8" t="n">
        <v>0</v>
      </c>
      <c r="F26" s="8" t="n">
        <v>3163.41</v>
      </c>
      <c r="G26" s="19" t="n">
        <v>0</v>
      </c>
      <c r="H26" s="8" t="n">
        <v>0</v>
      </c>
      <c r="I26" s="8" t="n">
        <f aca="false">D26+E26+F26+H26</f>
        <v>4033.41</v>
      </c>
      <c r="J26" s="7"/>
    </row>
    <row r="27" customFormat="false" ht="15" hidden="false" customHeight="false" outlineLevel="0" collapsed="false">
      <c r="A27" s="16" t="s">
        <v>79</v>
      </c>
      <c r="B27" s="4" t="s">
        <v>80</v>
      </c>
      <c r="C27" s="16" t="s">
        <v>76</v>
      </c>
      <c r="D27" s="5" t="n">
        <v>915</v>
      </c>
      <c r="E27" s="5" t="n">
        <v>150.36</v>
      </c>
      <c r="F27" s="5" t="n">
        <v>3682.6</v>
      </c>
      <c r="G27" s="17" t="n">
        <v>0</v>
      </c>
      <c r="H27" s="5" t="n">
        <v>0</v>
      </c>
      <c r="I27" s="5" t="n">
        <f aca="false">D27+E27+F27+H27</f>
        <v>4747.96</v>
      </c>
      <c r="J27" s="4"/>
    </row>
    <row r="28" customFormat="false" ht="15" hidden="false" customHeight="false" outlineLevel="0" collapsed="false">
      <c r="A28" s="18" t="s">
        <v>81</v>
      </c>
      <c r="B28" s="7" t="s">
        <v>82</v>
      </c>
      <c r="C28" s="18" t="s">
        <v>76</v>
      </c>
      <c r="D28" s="8" t="n">
        <v>750</v>
      </c>
      <c r="E28" s="8" t="n">
        <v>179.04</v>
      </c>
      <c r="F28" s="8" t="n">
        <v>2343.78</v>
      </c>
      <c r="G28" s="19" t="n">
        <v>0</v>
      </c>
      <c r="H28" s="8" t="n">
        <v>0</v>
      </c>
      <c r="I28" s="8" t="n">
        <f aca="false">D28+E28+F28+H28</f>
        <v>3272.82</v>
      </c>
      <c r="J28" s="7"/>
    </row>
    <row r="29" customFormat="false" ht="15" hidden="false" customHeight="false" outlineLevel="0" collapsed="false">
      <c r="A29" s="16" t="s">
        <v>83</v>
      </c>
      <c r="B29" s="4" t="s">
        <v>84</v>
      </c>
      <c r="C29" s="16" t="s">
        <v>76</v>
      </c>
      <c r="D29" s="5" t="n">
        <v>810</v>
      </c>
      <c r="E29" s="5" t="n">
        <v>0</v>
      </c>
      <c r="F29" s="5" t="n">
        <v>1691.65</v>
      </c>
      <c r="G29" s="17" t="n">
        <v>0</v>
      </c>
      <c r="H29" s="5" t="n">
        <v>0</v>
      </c>
      <c r="I29" s="5" t="n">
        <f aca="false">D29+E29+F29+H29</f>
        <v>2501.65</v>
      </c>
      <c r="J29" s="4"/>
    </row>
    <row r="30" customFormat="false" ht="15" hidden="false" customHeight="false" outlineLevel="0" collapsed="false">
      <c r="A30" s="18" t="s">
        <v>85</v>
      </c>
      <c r="B30" s="7" t="s">
        <v>86</v>
      </c>
      <c r="C30" s="18" t="s">
        <v>76</v>
      </c>
      <c r="D30" s="8" t="n">
        <v>720</v>
      </c>
      <c r="E30" s="8" t="n">
        <v>0</v>
      </c>
      <c r="F30" s="8" t="n">
        <v>1356.43</v>
      </c>
      <c r="G30" s="19" t="n">
        <v>0</v>
      </c>
      <c r="H30" s="8" t="n">
        <v>0</v>
      </c>
      <c r="I30" s="8" t="n">
        <f aca="false">D30+E30+F30+H30</f>
        <v>2076.43</v>
      </c>
      <c r="J30" s="7"/>
    </row>
    <row r="31" customFormat="false" ht="15" hidden="false" customHeight="false" outlineLevel="0" collapsed="false">
      <c r="A31" s="16" t="s">
        <v>87</v>
      </c>
      <c r="B31" s="4" t="s">
        <v>88</v>
      </c>
      <c r="C31" s="16" t="s">
        <v>76</v>
      </c>
      <c r="D31" s="5" t="n">
        <v>930</v>
      </c>
      <c r="E31" s="5" t="n">
        <v>0</v>
      </c>
      <c r="F31" s="5" t="n">
        <v>1927.97</v>
      </c>
      <c r="G31" s="17" t="n">
        <v>0</v>
      </c>
      <c r="H31" s="5" t="n">
        <v>0</v>
      </c>
      <c r="I31" s="5" t="n">
        <f aca="false">D31+E31+F31+H31</f>
        <v>2857.97</v>
      </c>
      <c r="J31" s="4"/>
    </row>
    <row r="32" customFormat="false" ht="15" hidden="false" customHeight="false" outlineLevel="0" collapsed="false">
      <c r="A32" s="18" t="s">
        <v>89</v>
      </c>
      <c r="B32" s="7" t="s">
        <v>90</v>
      </c>
      <c r="C32" s="18" t="s">
        <v>76</v>
      </c>
      <c r="D32" s="8" t="n">
        <v>795</v>
      </c>
      <c r="E32" s="8" t="n">
        <v>0</v>
      </c>
      <c r="F32" s="8" t="n">
        <v>3982.24</v>
      </c>
      <c r="G32" s="19" t="n">
        <v>0</v>
      </c>
      <c r="H32" s="8" t="n">
        <v>0</v>
      </c>
      <c r="I32" s="8" t="n">
        <f aca="false">D32+E32+F32+H32</f>
        <v>4777.24</v>
      </c>
      <c r="J32" s="7"/>
    </row>
    <row r="33" customFormat="false" ht="15" hidden="false" customHeight="false" outlineLevel="0" collapsed="false">
      <c r="A33" s="16" t="s">
        <v>91</v>
      </c>
      <c r="B33" s="4" t="s">
        <v>92</v>
      </c>
      <c r="C33" s="16" t="s">
        <v>76</v>
      </c>
      <c r="D33" s="5" t="n">
        <v>765</v>
      </c>
      <c r="E33" s="5" t="n">
        <v>0</v>
      </c>
      <c r="F33" s="5" t="n">
        <v>2598.73</v>
      </c>
      <c r="G33" s="17" t="n">
        <v>0</v>
      </c>
      <c r="H33" s="5" t="n">
        <v>0</v>
      </c>
      <c r="I33" s="5" t="n">
        <f aca="false">D33+E33+F33+H33</f>
        <v>3363.73</v>
      </c>
      <c r="J33" s="4"/>
    </row>
    <row r="34" customFormat="false" ht="15" hidden="false" customHeight="false" outlineLevel="0" collapsed="false">
      <c r="A34" s="18" t="s">
        <v>93</v>
      </c>
      <c r="B34" s="7" t="s">
        <v>94</v>
      </c>
      <c r="C34" s="18" t="s">
        <v>76</v>
      </c>
      <c r="D34" s="8" t="n">
        <v>585</v>
      </c>
      <c r="E34" s="8" t="n">
        <v>0</v>
      </c>
      <c r="F34" s="8" t="n">
        <v>2202.24</v>
      </c>
      <c r="G34" s="19" t="n">
        <v>0</v>
      </c>
      <c r="H34" s="8" t="n">
        <v>0</v>
      </c>
      <c r="I34" s="8" t="n">
        <f aca="false">D34+E34+F34+H34</f>
        <v>2787.24</v>
      </c>
      <c r="J34" s="7"/>
    </row>
    <row r="35" customFormat="false" ht="15" hidden="false" customHeight="false" outlineLevel="0" collapsed="false">
      <c r="A35" s="16" t="s">
        <v>95</v>
      </c>
      <c r="B35" s="4" t="s">
        <v>96</v>
      </c>
      <c r="C35" s="16" t="s">
        <v>76</v>
      </c>
      <c r="D35" s="5" t="n">
        <v>1260</v>
      </c>
      <c r="E35" s="5" t="n">
        <v>87.36</v>
      </c>
      <c r="F35" s="5" t="n">
        <v>2502.19</v>
      </c>
      <c r="G35" s="17" t="n">
        <v>0</v>
      </c>
      <c r="H35" s="5" t="n">
        <v>0</v>
      </c>
      <c r="I35" s="5" t="n">
        <f aca="false">D35+E35+F35+H35</f>
        <v>3849.55</v>
      </c>
      <c r="J35" s="4"/>
    </row>
    <row r="36" customFormat="false" ht="15" hidden="false" customHeight="false" outlineLevel="0" collapsed="false">
      <c r="A36" s="18" t="s">
        <v>97</v>
      </c>
      <c r="B36" s="7" t="s">
        <v>98</v>
      </c>
      <c r="C36" s="18" t="s">
        <v>76</v>
      </c>
      <c r="D36" s="8" t="n">
        <v>1740</v>
      </c>
      <c r="E36" s="8" t="n">
        <v>169.8</v>
      </c>
      <c r="F36" s="8" t="n">
        <v>1719.8</v>
      </c>
      <c r="G36" s="19" t="n">
        <v>0</v>
      </c>
      <c r="H36" s="8" t="n">
        <v>0</v>
      </c>
      <c r="I36" s="8" t="n">
        <f aca="false">D36+E36+F36+H36</f>
        <v>3629.6</v>
      </c>
      <c r="J36" s="7"/>
    </row>
    <row r="37" customFormat="false" ht="15" hidden="false" customHeight="false" outlineLevel="0" collapsed="false">
      <c r="A37" s="16" t="s">
        <v>99</v>
      </c>
      <c r="B37" s="4" t="s">
        <v>100</v>
      </c>
      <c r="C37" s="16" t="s">
        <v>76</v>
      </c>
      <c r="D37" s="5" t="n">
        <v>1830</v>
      </c>
      <c r="E37" s="5" t="n">
        <v>0</v>
      </c>
      <c r="F37" s="5" t="n">
        <v>2440.4</v>
      </c>
      <c r="G37" s="17" t="n">
        <v>0</v>
      </c>
      <c r="H37" s="5" t="n">
        <v>0</v>
      </c>
      <c r="I37" s="5" t="n">
        <f aca="false">D37+E37+F37+H37</f>
        <v>4270.4</v>
      </c>
      <c r="J37" s="4"/>
    </row>
    <row r="38" customFormat="false" ht="15" hidden="false" customHeight="false" outlineLevel="0" collapsed="false">
      <c r="A38" s="18" t="s">
        <v>101</v>
      </c>
      <c r="B38" s="7" t="s">
        <v>102</v>
      </c>
      <c r="C38" s="18" t="s">
        <v>76</v>
      </c>
      <c r="D38" s="8" t="n">
        <v>1950</v>
      </c>
      <c r="E38" s="8" t="n">
        <v>0</v>
      </c>
      <c r="F38" s="8" t="n">
        <v>3395</v>
      </c>
      <c r="G38" s="19" t="n">
        <v>0</v>
      </c>
      <c r="H38" s="8" t="n">
        <v>0</v>
      </c>
      <c r="I38" s="8" t="n">
        <f aca="false">D38+E38+F38+H38</f>
        <v>5345</v>
      </c>
      <c r="J38" s="7"/>
    </row>
    <row r="39" customFormat="false" ht="15" hidden="false" customHeight="false" outlineLevel="0" collapsed="false">
      <c r="A39" s="16" t="s">
        <v>103</v>
      </c>
      <c r="B39" s="4" t="s">
        <v>104</v>
      </c>
      <c r="C39" s="16" t="s">
        <v>76</v>
      </c>
      <c r="D39" s="5" t="n">
        <v>1620</v>
      </c>
      <c r="E39" s="5" t="n">
        <v>0</v>
      </c>
      <c r="F39" s="5" t="n">
        <v>2622.11</v>
      </c>
      <c r="G39" s="17" t="n">
        <v>0</v>
      </c>
      <c r="H39" s="5" t="n">
        <v>0</v>
      </c>
      <c r="I39" s="5" t="n">
        <f aca="false">D39+E39+F39+H39</f>
        <v>4242.11</v>
      </c>
      <c r="J39" s="4"/>
    </row>
    <row r="40" customFormat="false" ht="15" hidden="false" customHeight="false" outlineLevel="0" collapsed="false">
      <c r="A40" s="18" t="s">
        <v>105</v>
      </c>
      <c r="B40" s="7" t="s">
        <v>106</v>
      </c>
      <c r="C40" s="18" t="s">
        <v>76</v>
      </c>
      <c r="D40" s="8" t="n">
        <v>1140</v>
      </c>
      <c r="E40" s="8" t="n">
        <v>0</v>
      </c>
      <c r="F40" s="8" t="n">
        <v>2606.76</v>
      </c>
      <c r="G40" s="19" t="n">
        <v>0</v>
      </c>
      <c r="H40" s="8" t="n">
        <v>0</v>
      </c>
      <c r="I40" s="8" t="n">
        <f aca="false">D40+E40+F40+H40</f>
        <v>3746.76</v>
      </c>
      <c r="J40" s="7"/>
    </row>
    <row r="41" customFormat="false" ht="15" hidden="false" customHeight="false" outlineLevel="0" collapsed="false">
      <c r="A41" s="16" t="s">
        <v>107</v>
      </c>
      <c r="B41" s="4" t="s">
        <v>108</v>
      </c>
      <c r="C41" s="16" t="s">
        <v>76</v>
      </c>
      <c r="D41" s="5" t="n">
        <v>1110</v>
      </c>
      <c r="E41" s="5" t="n">
        <v>0</v>
      </c>
      <c r="F41" s="5" t="n">
        <v>3210.21</v>
      </c>
      <c r="G41" s="17" t="n">
        <v>0</v>
      </c>
      <c r="H41" s="5" t="n">
        <v>0</v>
      </c>
      <c r="I41" s="5" t="n">
        <f aca="false">D41+E41+F41+H41</f>
        <v>4320.21</v>
      </c>
      <c r="J41" s="4"/>
    </row>
    <row r="42" customFormat="false" ht="15" hidden="false" customHeight="false" outlineLevel="0" collapsed="false">
      <c r="A42" s="18" t="s">
        <v>109</v>
      </c>
      <c r="B42" s="7" t="s">
        <v>110</v>
      </c>
      <c r="C42" s="18" t="s">
        <v>76</v>
      </c>
      <c r="D42" s="8" t="n">
        <v>1290</v>
      </c>
      <c r="E42" s="8" t="n">
        <v>177.48</v>
      </c>
      <c r="F42" s="8" t="n">
        <v>2252.12</v>
      </c>
      <c r="G42" s="19" t="n">
        <v>0</v>
      </c>
      <c r="H42" s="8" t="n">
        <v>0</v>
      </c>
      <c r="I42" s="8" t="n">
        <f aca="false">D42+E42+F42+H42</f>
        <v>3719.6</v>
      </c>
      <c r="J42" s="7"/>
    </row>
    <row r="43" customFormat="false" ht="15" hidden="false" customHeight="false" outlineLevel="0" collapsed="false">
      <c r="A43" s="16" t="s">
        <v>111</v>
      </c>
      <c r="B43" s="4" t="s">
        <v>112</v>
      </c>
      <c r="C43" s="16" t="s">
        <v>76</v>
      </c>
      <c r="D43" s="5" t="n">
        <v>1245</v>
      </c>
      <c r="E43" s="5" t="n">
        <v>156.24</v>
      </c>
      <c r="F43" s="5" t="n">
        <v>2196.29</v>
      </c>
      <c r="G43" s="17" t="n">
        <v>0</v>
      </c>
      <c r="H43" s="5" t="n">
        <v>0</v>
      </c>
      <c r="I43" s="5" t="n">
        <f aca="false">D43+E43+F43+H43</f>
        <v>3597.53</v>
      </c>
      <c r="J43" s="4"/>
    </row>
    <row r="44" customFormat="false" ht="15" hidden="false" customHeight="false" outlineLevel="0" collapsed="false">
      <c r="A44" s="18" t="s">
        <v>113</v>
      </c>
      <c r="B44" s="7" t="s">
        <v>114</v>
      </c>
      <c r="C44" s="18" t="s">
        <v>76</v>
      </c>
      <c r="D44" s="8" t="n">
        <v>1305</v>
      </c>
      <c r="E44" s="8" t="n">
        <v>0</v>
      </c>
      <c r="F44" s="8" t="n">
        <v>2452.5</v>
      </c>
      <c r="G44" s="19" t="n">
        <v>0</v>
      </c>
      <c r="H44" s="8" t="n">
        <v>0</v>
      </c>
      <c r="I44" s="8" t="n">
        <f aca="false">D44+E44+F44+H44</f>
        <v>3757.5</v>
      </c>
      <c r="J44" s="7"/>
    </row>
    <row r="45" customFormat="false" ht="15" hidden="false" customHeight="false" outlineLevel="0" collapsed="false">
      <c r="A45" s="16" t="s">
        <v>115</v>
      </c>
      <c r="B45" s="4" t="s">
        <v>116</v>
      </c>
      <c r="C45" s="16" t="s">
        <v>76</v>
      </c>
      <c r="D45" s="5" t="n">
        <v>825</v>
      </c>
      <c r="E45" s="5" t="n">
        <v>0</v>
      </c>
      <c r="F45" s="5" t="n">
        <v>1569.58</v>
      </c>
      <c r="G45" s="17" t="n">
        <v>0</v>
      </c>
      <c r="H45" s="5" t="n">
        <v>0</v>
      </c>
      <c r="I45" s="5" t="n">
        <f aca="false">D45+E45+F45+H45</f>
        <v>2394.58</v>
      </c>
      <c r="J45" s="4"/>
    </row>
    <row r="46" customFormat="false" ht="15" hidden="false" customHeight="false" outlineLevel="0" collapsed="false">
      <c r="A46" s="18" t="s">
        <v>117</v>
      </c>
      <c r="B46" s="7" t="s">
        <v>118</v>
      </c>
      <c r="C46" s="18" t="s">
        <v>76</v>
      </c>
      <c r="D46" s="8" t="n">
        <v>780</v>
      </c>
      <c r="E46" s="8" t="n">
        <v>0</v>
      </c>
      <c r="F46" s="8" t="n">
        <v>2536.19</v>
      </c>
      <c r="G46" s="19" t="n">
        <v>0</v>
      </c>
      <c r="H46" s="8" t="n">
        <v>0</v>
      </c>
      <c r="I46" s="8" t="n">
        <f aca="false">D46+E46+F46+H46</f>
        <v>3316.19</v>
      </c>
      <c r="J46" s="7"/>
    </row>
    <row r="47" customFormat="false" ht="15" hidden="false" customHeight="false" outlineLevel="0" collapsed="false">
      <c r="A47" s="16" t="s">
        <v>119</v>
      </c>
      <c r="B47" s="4" t="s">
        <v>120</v>
      </c>
      <c r="C47" s="16" t="s">
        <v>76</v>
      </c>
      <c r="D47" s="5" t="n">
        <v>810</v>
      </c>
      <c r="E47" s="5" t="n">
        <v>0</v>
      </c>
      <c r="F47" s="5" t="n">
        <v>2961.77</v>
      </c>
      <c r="G47" s="17" t="n">
        <v>0</v>
      </c>
      <c r="H47" s="5" t="n">
        <v>0</v>
      </c>
      <c r="I47" s="5" t="n">
        <f aca="false">D47+E47+F47+H47</f>
        <v>3771.77</v>
      </c>
      <c r="J47" s="4"/>
    </row>
    <row r="48" customFormat="false" ht="15" hidden="false" customHeight="false" outlineLevel="0" collapsed="false">
      <c r="A48" s="18" t="s">
        <v>121</v>
      </c>
      <c r="B48" s="7" t="s">
        <v>122</v>
      </c>
      <c r="C48" s="18" t="s">
        <v>76</v>
      </c>
      <c r="D48" s="8" t="n">
        <v>885</v>
      </c>
      <c r="E48" s="8" t="n">
        <v>0</v>
      </c>
      <c r="F48" s="8" t="n">
        <v>2579.56</v>
      </c>
      <c r="G48" s="19" t="n">
        <v>0</v>
      </c>
      <c r="H48" s="8" t="n">
        <v>0</v>
      </c>
      <c r="I48" s="8" t="n">
        <f aca="false">D48+E48+F48+H48</f>
        <v>3464.56</v>
      </c>
      <c r="J48" s="7"/>
    </row>
    <row r="49" customFormat="false" ht="15" hidden="false" customHeight="false" outlineLevel="0" collapsed="false">
      <c r="A49" s="16" t="s">
        <v>123</v>
      </c>
      <c r="B49" s="4" t="s">
        <v>124</v>
      </c>
      <c r="C49" s="16" t="s">
        <v>76</v>
      </c>
      <c r="D49" s="5" t="n">
        <v>1170</v>
      </c>
      <c r="E49" s="5" t="n">
        <v>0</v>
      </c>
      <c r="F49" s="5" t="n">
        <v>1639.93</v>
      </c>
      <c r="G49" s="17" t="n">
        <v>0</v>
      </c>
      <c r="H49" s="5" t="n">
        <v>0</v>
      </c>
      <c r="I49" s="5" t="n">
        <f aca="false">D49+E49+F49+H49</f>
        <v>2809.93</v>
      </c>
      <c r="J49" s="4"/>
    </row>
    <row r="50" customFormat="false" ht="15" hidden="false" customHeight="false" outlineLevel="0" collapsed="false">
      <c r="A50" s="18" t="s">
        <v>125</v>
      </c>
      <c r="B50" s="7" t="s">
        <v>126</v>
      </c>
      <c r="C50" s="18" t="s">
        <v>76</v>
      </c>
      <c r="D50" s="8" t="n">
        <v>1320</v>
      </c>
      <c r="E50" s="8" t="n">
        <v>0</v>
      </c>
      <c r="F50" s="8" t="n">
        <v>3582.61</v>
      </c>
      <c r="G50" s="19" t="n">
        <v>0</v>
      </c>
      <c r="H50" s="8" t="n">
        <v>0</v>
      </c>
      <c r="I50" s="8" t="n">
        <f aca="false">D50+E50+F50+H50</f>
        <v>4902.61</v>
      </c>
      <c r="J50" s="7"/>
    </row>
    <row r="51" customFormat="false" ht="15" hidden="false" customHeight="false" outlineLevel="0" collapsed="false">
      <c r="A51" s="16" t="s">
        <v>127</v>
      </c>
      <c r="B51" s="4" t="s">
        <v>128</v>
      </c>
      <c r="C51" s="16" t="s">
        <v>76</v>
      </c>
      <c r="D51" s="5" t="n">
        <v>1440</v>
      </c>
      <c r="E51" s="5" t="n">
        <v>0</v>
      </c>
      <c r="F51" s="5" t="n">
        <v>2466.91</v>
      </c>
      <c r="G51" s="17" t="n">
        <v>0</v>
      </c>
      <c r="H51" s="5" t="n">
        <v>0</v>
      </c>
      <c r="I51" s="5" t="n">
        <f aca="false">D51+E51+F51+H51</f>
        <v>3906.91</v>
      </c>
      <c r="J51" s="4"/>
    </row>
    <row r="52" customFormat="false" ht="15" hidden="false" customHeight="false" outlineLevel="0" collapsed="false">
      <c r="A52" s="20" t="s">
        <v>129</v>
      </c>
      <c r="B52" s="21" t="s">
        <v>130</v>
      </c>
      <c r="C52" s="20" t="s">
        <v>76</v>
      </c>
      <c r="D52" s="22" t="n">
        <v>1260</v>
      </c>
      <c r="E52" s="22" t="n">
        <v>0</v>
      </c>
      <c r="F52" s="22" t="n">
        <v>1510.8</v>
      </c>
      <c r="G52" s="23" t="n">
        <v>2</v>
      </c>
      <c r="H52" s="22" t="n">
        <v>82</v>
      </c>
      <c r="I52" s="22" t="n">
        <f aca="false">D52+E52+F52+H52</f>
        <v>2852.8</v>
      </c>
      <c r="J52" s="21" t="s">
        <v>131</v>
      </c>
    </row>
    <row r="53" customFormat="false" ht="15" hidden="false" customHeight="false" outlineLevel="0" collapsed="false">
      <c r="A53" s="16" t="s">
        <v>132</v>
      </c>
      <c r="B53" s="4" t="s">
        <v>133</v>
      </c>
      <c r="C53" s="16" t="s">
        <v>76</v>
      </c>
      <c r="D53" s="5" t="n">
        <v>1365</v>
      </c>
      <c r="E53" s="5" t="n">
        <v>0</v>
      </c>
      <c r="F53" s="5" t="n">
        <v>2200.78</v>
      </c>
      <c r="G53" s="17" t="n">
        <v>0</v>
      </c>
      <c r="H53" s="5" t="n">
        <v>0</v>
      </c>
      <c r="I53" s="5" t="n">
        <f aca="false">D53+E53+F53+H53</f>
        <v>3565.78</v>
      </c>
      <c r="J53" s="4"/>
    </row>
    <row r="54" customFormat="false" ht="15" hidden="false" customHeight="false" outlineLevel="0" collapsed="false">
      <c r="A54" s="18" t="s">
        <v>134</v>
      </c>
      <c r="B54" s="7" t="s">
        <v>135</v>
      </c>
      <c r="C54" s="18" t="s">
        <v>76</v>
      </c>
      <c r="D54" s="8" t="n">
        <v>1155</v>
      </c>
      <c r="E54" s="8" t="n">
        <v>0</v>
      </c>
      <c r="F54" s="8" t="n">
        <v>3627.53</v>
      </c>
      <c r="G54" s="19" t="n">
        <v>0</v>
      </c>
      <c r="H54" s="8" t="n">
        <v>0</v>
      </c>
      <c r="I54" s="8" t="n">
        <f aca="false">D54+E54+F54+H54</f>
        <v>4782.53</v>
      </c>
      <c r="J54" s="7"/>
    </row>
    <row r="55" customFormat="false" ht="15" hidden="false" customHeight="true" outlineLevel="0" collapsed="false">
      <c r="A55" s="24" t="s">
        <v>136</v>
      </c>
      <c r="B55" s="24"/>
      <c r="C55" s="24"/>
      <c r="D55" s="25" t="n">
        <f aca="false">SUM(D5:D54)</f>
        <v>57615</v>
      </c>
      <c r="E55" s="25" t="n">
        <f aca="false">SUM(E5:E54)</f>
        <v>1328.64</v>
      </c>
      <c r="F55" s="25" t="n">
        <f aca="false">SUM(F5:F54)</f>
        <v>126083.72</v>
      </c>
      <c r="G55" s="26" t="n">
        <f aca="false">SUM(G5:G54)</f>
        <v>11</v>
      </c>
      <c r="H55" s="25" t="n">
        <f aca="false">SUM(H5:H54)</f>
        <v>451</v>
      </c>
      <c r="I55" s="25" t="n">
        <f aca="false">SUM(I5:I54)</f>
        <v>185478.36</v>
      </c>
      <c r="J55" s="27"/>
    </row>
  </sheetData>
  <mergeCells count="3">
    <mergeCell ref="A1:J1"/>
    <mergeCell ref="A2:J2"/>
    <mergeCell ref="A55:C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36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137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15" t="s">
        <v>138</v>
      </c>
      <c r="B2" s="15"/>
      <c r="C2" s="15"/>
      <c r="D2" s="15"/>
      <c r="E2" s="15"/>
      <c r="F2" s="15"/>
      <c r="G2" s="15"/>
    </row>
    <row r="4" customFormat="false" ht="19.5" hidden="false" customHeight="true" outlineLevel="0" collapsed="false">
      <c r="A4" s="3" t="s">
        <v>139</v>
      </c>
      <c r="B4" s="3" t="s">
        <v>21</v>
      </c>
      <c r="C4" s="3" t="s">
        <v>22</v>
      </c>
      <c r="D4" s="3" t="s">
        <v>23</v>
      </c>
      <c r="E4" s="3" t="s">
        <v>140</v>
      </c>
      <c r="F4" s="3" t="s">
        <v>141</v>
      </c>
      <c r="G4" s="3" t="s">
        <v>142</v>
      </c>
    </row>
    <row r="5" customFormat="false" ht="15" hidden="false" customHeight="false" outlineLevel="0" collapsed="false">
      <c r="A5" s="28" t="n">
        <v>45753</v>
      </c>
      <c r="B5" s="16" t="s">
        <v>71</v>
      </c>
      <c r="C5" s="4" t="s">
        <v>72</v>
      </c>
      <c r="D5" s="16" t="s">
        <v>32</v>
      </c>
      <c r="E5" s="16" t="s">
        <v>143</v>
      </c>
      <c r="F5" s="4" t="s">
        <v>144</v>
      </c>
      <c r="G5" s="5" t="n">
        <v>41</v>
      </c>
    </row>
    <row r="6" customFormat="false" ht="15" hidden="false" customHeight="false" outlineLevel="0" collapsed="false">
      <c r="A6" s="29" t="n">
        <v>45754</v>
      </c>
      <c r="B6" s="18" t="s">
        <v>129</v>
      </c>
      <c r="C6" s="7" t="s">
        <v>130</v>
      </c>
      <c r="D6" s="18" t="s">
        <v>76</v>
      </c>
      <c r="E6" s="18" t="s">
        <v>145</v>
      </c>
      <c r="F6" s="7" t="s">
        <v>144</v>
      </c>
      <c r="G6" s="8" t="n">
        <v>41</v>
      </c>
    </row>
    <row r="7" customFormat="false" ht="15" hidden="false" customHeight="false" outlineLevel="0" collapsed="false">
      <c r="A7" s="28" t="n">
        <v>45771</v>
      </c>
      <c r="B7" s="16" t="s">
        <v>41</v>
      </c>
      <c r="C7" s="4" t="s">
        <v>42</v>
      </c>
      <c r="D7" s="16" t="s">
        <v>32</v>
      </c>
      <c r="E7" s="16" t="s">
        <v>146</v>
      </c>
      <c r="F7" s="4" t="s">
        <v>144</v>
      </c>
      <c r="G7" s="5" t="n">
        <v>41</v>
      </c>
    </row>
    <row r="8" customFormat="false" ht="15" hidden="false" customHeight="false" outlineLevel="0" collapsed="false">
      <c r="A8" s="29" t="n">
        <v>45777</v>
      </c>
      <c r="B8" s="18" t="s">
        <v>129</v>
      </c>
      <c r="C8" s="7" t="s">
        <v>130</v>
      </c>
      <c r="D8" s="18" t="s">
        <v>76</v>
      </c>
      <c r="E8" s="18" t="s">
        <v>147</v>
      </c>
      <c r="F8" s="7" t="s">
        <v>144</v>
      </c>
      <c r="G8" s="8" t="n">
        <v>41</v>
      </c>
    </row>
    <row r="9" customFormat="false" ht="15" hidden="false" customHeight="false" outlineLevel="0" collapsed="false">
      <c r="A9" s="28" t="n">
        <v>45793</v>
      </c>
      <c r="B9" s="16" t="s">
        <v>50</v>
      </c>
      <c r="C9" s="4" t="s">
        <v>51</v>
      </c>
      <c r="D9" s="16" t="s">
        <v>32</v>
      </c>
      <c r="E9" s="16" t="s">
        <v>148</v>
      </c>
      <c r="F9" s="4" t="s">
        <v>144</v>
      </c>
      <c r="G9" s="5" t="n">
        <v>41</v>
      </c>
    </row>
    <row r="10" customFormat="false" ht="15" hidden="false" customHeight="false" outlineLevel="0" collapsed="false">
      <c r="A10" s="29" t="n">
        <v>45797</v>
      </c>
      <c r="B10" s="18" t="s">
        <v>56</v>
      </c>
      <c r="C10" s="7" t="s">
        <v>57</v>
      </c>
      <c r="D10" s="18" t="s">
        <v>32</v>
      </c>
      <c r="E10" s="18" t="s">
        <v>149</v>
      </c>
      <c r="F10" s="7" t="s">
        <v>144</v>
      </c>
      <c r="G10" s="8" t="n">
        <v>41</v>
      </c>
    </row>
    <row r="11" customFormat="false" ht="15" hidden="false" customHeight="false" outlineLevel="0" collapsed="false">
      <c r="A11" s="28" t="n">
        <v>45799</v>
      </c>
      <c r="B11" s="16" t="s">
        <v>56</v>
      </c>
      <c r="C11" s="4" t="s">
        <v>57</v>
      </c>
      <c r="D11" s="16" t="s">
        <v>32</v>
      </c>
      <c r="E11" s="16" t="s">
        <v>150</v>
      </c>
      <c r="F11" s="4" t="s">
        <v>144</v>
      </c>
      <c r="G11" s="5" t="n">
        <v>41</v>
      </c>
    </row>
    <row r="12" customFormat="false" ht="15" hidden="false" customHeight="false" outlineLevel="0" collapsed="false">
      <c r="A12" s="29" t="n">
        <v>45802</v>
      </c>
      <c r="B12" s="18" t="s">
        <v>56</v>
      </c>
      <c r="C12" s="7" t="s">
        <v>57</v>
      </c>
      <c r="D12" s="18" t="s">
        <v>32</v>
      </c>
      <c r="E12" s="18" t="s">
        <v>149</v>
      </c>
      <c r="F12" s="7" t="s">
        <v>144</v>
      </c>
      <c r="G12" s="8" t="n">
        <v>41</v>
      </c>
    </row>
    <row r="13" customFormat="false" ht="15" hidden="false" customHeight="false" outlineLevel="0" collapsed="false">
      <c r="A13" s="28" t="n">
        <v>45813</v>
      </c>
      <c r="B13" s="16" t="s">
        <v>71</v>
      </c>
      <c r="C13" s="4" t="s">
        <v>72</v>
      </c>
      <c r="D13" s="16" t="s">
        <v>32</v>
      </c>
      <c r="E13" s="16" t="s">
        <v>151</v>
      </c>
      <c r="F13" s="4" t="s">
        <v>144</v>
      </c>
      <c r="G13" s="5" t="n">
        <v>41</v>
      </c>
    </row>
    <row r="14" customFormat="false" ht="15" hidden="false" customHeight="false" outlineLevel="0" collapsed="false">
      <c r="A14" s="29" t="n">
        <v>45821</v>
      </c>
      <c r="B14" s="18" t="s">
        <v>71</v>
      </c>
      <c r="C14" s="7" t="s">
        <v>72</v>
      </c>
      <c r="D14" s="18" t="s">
        <v>32</v>
      </c>
      <c r="E14" s="18" t="s">
        <v>148</v>
      </c>
      <c r="F14" s="7" t="s">
        <v>144</v>
      </c>
      <c r="G14" s="8" t="n">
        <v>41</v>
      </c>
    </row>
    <row r="15" customFormat="false" ht="15" hidden="false" customHeight="false" outlineLevel="0" collapsed="false">
      <c r="A15" s="28" t="n">
        <v>45828</v>
      </c>
      <c r="B15" s="16" t="s">
        <v>56</v>
      </c>
      <c r="C15" s="4" t="s">
        <v>57</v>
      </c>
      <c r="D15" s="16" t="s">
        <v>32</v>
      </c>
      <c r="E15" s="16" t="s">
        <v>151</v>
      </c>
      <c r="F15" s="4" t="s">
        <v>144</v>
      </c>
      <c r="G15" s="5" t="n">
        <v>41</v>
      </c>
    </row>
    <row r="16" customFormat="false" ht="15" hidden="false" customHeight="true" outlineLevel="0" collapsed="false">
      <c r="A16" s="30" t="s">
        <v>152</v>
      </c>
      <c r="B16" s="30"/>
      <c r="C16" s="30"/>
      <c r="D16" s="30"/>
      <c r="E16" s="30"/>
      <c r="F16" s="30"/>
      <c r="G16" s="31" t="n">
        <f aca="false">SUM(G5:G15)</f>
        <v>451</v>
      </c>
    </row>
  </sheetData>
  <mergeCells count="3">
    <mergeCell ref="A1:G1"/>
    <mergeCell ref="A2:G2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2026-05-04T22:52:01Z</dcterms:created>
  <dc:creator>openpyxl</dc:creator>
  <dc:description/>
  <dc:language>en-US</dc:language>
  <cp:lastModifiedBy/>
  <dcterms:modified xsi:type="dcterms:W3CDTF">2026-05-04T22:52:01Z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