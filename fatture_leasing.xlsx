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Ciclo 1" sheetId="2" state="visible" r:id="rId4"/>
    <sheet name="Ciclo 2" sheetId="3" state="visible" r:id="rId5"/>
    <sheet name="Ciclo 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<sst xmlns="http://schemas.openxmlformats.org/spreadsheetml/2006/main" count="357" uniqueCount="135">
  <si>
    <t xml:space="preserve">RIEPILOGO FATTURE LEASING – FLOTTA AZIENDALE</t>
  </si>
  <si>
    <t xml:space="preserve">Ciclo</t>
  </si>
  <si>
    <t xml:space="preserve">N° Fattura</t>
  </si>
  <si>
    <t xml:space="preserve">Periodo</t>
  </si>
  <si>
    <t xml:space="preserve">N° Veicoli</t>
  </si>
  <si>
    <t xml:space="preserve">Totale Canoni (€)</t>
  </si>
  <si>
    <t xml:space="preserve">Totale Extra km (€)</t>
  </si>
  <si>
    <t xml:space="preserve">Totale Fattura (€)</t>
  </si>
  <si>
    <t xml:space="preserve">Ciclo 1 – Apr 2025</t>
  </si>
  <si>
    <t xml:space="preserve">LEASE-2025-004</t>
  </si>
  <si>
    <t xml:space="preserve">01/04/2025 – 30/04/2025</t>
  </si>
  <si>
    <t xml:space="preserve">Ciclo 2 – Mag 2025</t>
  </si>
  <si>
    <t xml:space="preserve">LEASE-2025-005</t>
  </si>
  <si>
    <t xml:space="preserve">01/05/2025 – 31/05/2025</t>
  </si>
  <si>
    <t xml:space="preserve">Ciclo 3 – Giu 2025</t>
  </si>
  <si>
    <t xml:space="preserve">LEASE-2025-006</t>
  </si>
  <si>
    <t xml:space="preserve">01/06/2025 – 30/06/2025</t>
  </si>
  <si>
    <t xml:space="preserve">TOTALE COMPLESSIVO</t>
  </si>
  <si>
    <t xml:space="preserve">FATTURA LEASING FLOTTA  –  Ciclo 1 – Apr 2025  –  N° LEASE-2025-004</t>
  </si>
  <si>
    <t xml:space="preserve">Periodo competenza: 01/04/2025 – 30/04/2025     |     Scadenza pagamento: 30/05/2025     |     Costo extra km: € 0.12/km</t>
  </si>
  <si>
    <t xml:space="preserve">Targa</t>
  </si>
  <si>
    <t xml:space="preserve">Modello</t>
  </si>
  <si>
    <t xml:space="preserve">Anno</t>
  </si>
  <si>
    <t xml:space="preserve">Canone Mensile (€)</t>
  </si>
  <si>
    <t xml:space="preserve">KM Contrattuali</t>
  </si>
  <si>
    <t xml:space="preserve">KM Percorsi</t>
  </si>
  <si>
    <t xml:space="preserve">KM Extra</t>
  </si>
  <si>
    <t xml:space="preserve">Costo Extra (€)</t>
  </si>
  <si>
    <t xml:space="preserve">Totale Riga (€)</t>
  </si>
  <si>
    <t xml:space="preserve">FL123AB</t>
  </si>
  <si>
    <t xml:space="preserve">Fiat Doblò Cargo 1.6 MJT</t>
  </si>
  <si>
    <t xml:space="preserve">FL456CD</t>
  </si>
  <si>
    <t xml:space="preserve">Volkswagen Transporter T6 2.0 TDI</t>
  </si>
  <si>
    <t xml:space="preserve">FL789EF</t>
  </si>
  <si>
    <t xml:space="preserve">Ford Transit Custom 2.0 EcoBlue</t>
  </si>
  <si>
    <t xml:space="preserve">FL321GH</t>
  </si>
  <si>
    <t xml:space="preserve">Renault Trafic 1.6 dCi</t>
  </si>
  <si>
    <t xml:space="preserve">FL654IJ</t>
  </si>
  <si>
    <t xml:space="preserve">Fiat Fiorino 1.3 MJT</t>
  </si>
  <si>
    <t xml:space="preserve">FL987KL</t>
  </si>
  <si>
    <t xml:space="preserve">Mercedes-Benz Sprinter 314 CDI</t>
  </si>
  <si>
    <t xml:space="preserve">FL147MN</t>
  </si>
  <si>
    <t xml:space="preserve">Peugeot Partner 1.5 BlueHDi</t>
  </si>
  <si>
    <t xml:space="preserve">FL258OP</t>
  </si>
  <si>
    <t xml:space="preserve">Citroën Berlingo 1.5 BlueHDi</t>
  </si>
  <si>
    <t xml:space="preserve">FL369QR</t>
  </si>
  <si>
    <t xml:space="preserve">Opel Vivaro 1.5 CDTI</t>
  </si>
  <si>
    <t xml:space="preserve">FL741ST</t>
  </si>
  <si>
    <t xml:space="preserve">Ford Transit 2.0 EcoBlue 130</t>
  </si>
  <si>
    <t xml:space="preserve">FL852UV</t>
  </si>
  <si>
    <t xml:space="preserve">Volkswagen Caddy 2.0 TDI</t>
  </si>
  <si>
    <t xml:space="preserve">FL963WX</t>
  </si>
  <si>
    <t xml:space="preserve">Fiat Ducato 2.3 MJT 140</t>
  </si>
  <si>
    <t xml:space="preserve">FL159YZ</t>
  </si>
  <si>
    <t xml:space="preserve">Renault Master 2.3 dCi</t>
  </si>
  <si>
    <t xml:space="preserve">GH111AB</t>
  </si>
  <si>
    <t xml:space="preserve">Mercedes-Benz Vito 114 CDI</t>
  </si>
  <si>
    <t xml:space="preserve">GH222CD</t>
  </si>
  <si>
    <t xml:space="preserve">Iveco Daily 35S14</t>
  </si>
  <si>
    <t xml:space="preserve">GH333EF</t>
  </si>
  <si>
    <t xml:space="preserve">Peugeot Boxer 2.2 BlueHDi</t>
  </si>
  <si>
    <t xml:space="preserve">GH444GH</t>
  </si>
  <si>
    <t xml:space="preserve">Toyota Proace 2.0 D-4D</t>
  </si>
  <si>
    <t xml:space="preserve">GH555IJ</t>
  </si>
  <si>
    <t xml:space="preserve">Nissan NV300 1.6 dCi</t>
  </si>
  <si>
    <t xml:space="preserve">GH666KL</t>
  </si>
  <si>
    <t xml:space="preserve">Volkswagen Crafter 2.0 TDI</t>
  </si>
  <si>
    <t xml:space="preserve">GH777MN</t>
  </si>
  <si>
    <t xml:space="preserve">Fiat Talento 1.6 EcoJet</t>
  </si>
  <si>
    <t xml:space="preserve">MM100OP</t>
  </si>
  <si>
    <t xml:space="preserve">Fiat Panda 1.2</t>
  </si>
  <si>
    <t xml:space="preserve">MM200QR</t>
  </si>
  <si>
    <t xml:space="preserve">Volkswagen Golf 1.6 TDI</t>
  </si>
  <si>
    <t xml:space="preserve">MM300ST</t>
  </si>
  <si>
    <t xml:space="preserve">Ford Focus 1.5 EcoBlue</t>
  </si>
  <si>
    <t xml:space="preserve">MM400UV</t>
  </si>
  <si>
    <t xml:space="preserve">Renault Clio 1.5 dCi</t>
  </si>
  <si>
    <t xml:space="preserve">MM500WX</t>
  </si>
  <si>
    <t xml:space="preserve">Toyota Yaris 1.5 Hybrid</t>
  </si>
  <si>
    <t xml:space="preserve">MM600YZ</t>
  </si>
  <si>
    <t xml:space="preserve">Opel Corsa 1.2 Turbo</t>
  </si>
  <si>
    <t xml:space="preserve">MM700AB</t>
  </si>
  <si>
    <t xml:space="preserve">Škoda Octavia 2.0 TDI</t>
  </si>
  <si>
    <t xml:space="preserve">MM800CD</t>
  </si>
  <si>
    <t xml:space="preserve">Hyundai i30 1.6 CRDi</t>
  </si>
  <si>
    <t xml:space="preserve">MM900EF</t>
  </si>
  <si>
    <t xml:space="preserve">Kia Ceed 1.4 T-GDI</t>
  </si>
  <si>
    <t xml:space="preserve">MM010GH</t>
  </si>
  <si>
    <t xml:space="preserve">Dacia Sandero 1.0 TCe</t>
  </si>
  <si>
    <t xml:space="preserve">RM111IJ</t>
  </si>
  <si>
    <t xml:space="preserve">Volkswagen Passat 2.0 TDI</t>
  </si>
  <si>
    <t xml:space="preserve">RM222KL</t>
  </si>
  <si>
    <t xml:space="preserve">BMW 318d</t>
  </si>
  <si>
    <t xml:space="preserve">RM333MN</t>
  </si>
  <si>
    <t xml:space="preserve">Audi A4 2.0 TDI</t>
  </si>
  <si>
    <t xml:space="preserve">RM444OP</t>
  </si>
  <si>
    <t xml:space="preserve">Mercedes-Benz Classe C 200d</t>
  </si>
  <si>
    <t xml:space="preserve">RM555QR</t>
  </si>
  <si>
    <t xml:space="preserve">Volvo V60 D3</t>
  </si>
  <si>
    <t xml:space="preserve">RM666ST</t>
  </si>
  <si>
    <t xml:space="preserve">Toyota Corolla 1.8 Hybrid</t>
  </si>
  <si>
    <t xml:space="preserve">RM777UV</t>
  </si>
  <si>
    <t xml:space="preserve">Ford Mondeo 2.0 EcoBlue</t>
  </si>
  <si>
    <t xml:space="preserve">RM888WX</t>
  </si>
  <si>
    <t xml:space="preserve">Škoda Superb 2.0 TDI</t>
  </si>
  <si>
    <t xml:space="preserve">RM999YZ</t>
  </si>
  <si>
    <t xml:space="preserve">Peugeot 508 1.5 BlueHDi</t>
  </si>
  <si>
    <t xml:space="preserve">RM010AB</t>
  </si>
  <si>
    <t xml:space="preserve">Citroën C5 Aircross 1.5 BlueHDi</t>
  </si>
  <si>
    <t xml:space="preserve">TO101CD</t>
  </si>
  <si>
    <t xml:space="preserve">Renault Megane 1.5 dCi</t>
  </si>
  <si>
    <t xml:space="preserve">TO202EF</t>
  </si>
  <si>
    <t xml:space="preserve">Fiat Tipo 1.6 MJT</t>
  </si>
  <si>
    <t xml:space="preserve">TO303GH</t>
  </si>
  <si>
    <t xml:space="preserve">Opel Astra 1.5 CDTI</t>
  </si>
  <si>
    <t xml:space="preserve">TO404IJ</t>
  </si>
  <si>
    <t xml:space="preserve">Seat Leon 2.0 TDI</t>
  </si>
  <si>
    <t xml:space="preserve">TO505KL</t>
  </si>
  <si>
    <t xml:space="preserve">Mazda 6 2.2 Skyactiv-D</t>
  </si>
  <si>
    <t xml:space="preserve">TO606MN</t>
  </si>
  <si>
    <t xml:space="preserve">Honda CR-V 1.6 i-DTEC</t>
  </si>
  <si>
    <t xml:space="preserve">TO707OP</t>
  </si>
  <si>
    <t xml:space="preserve">Volkswagen Tiguan 2.0 TDI</t>
  </si>
  <si>
    <t xml:space="preserve">TO808QR</t>
  </si>
  <si>
    <t xml:space="preserve">Ford Kuga 2.0 EcoBlue</t>
  </si>
  <si>
    <t xml:space="preserve">TO909ST</t>
  </si>
  <si>
    <t xml:space="preserve">Peugeot 3008 1.5 BlueHDi</t>
  </si>
  <si>
    <t xml:space="preserve">TO010UV</t>
  </si>
  <si>
    <t xml:space="preserve">Nissan Qashqai 1.5 dCi</t>
  </si>
  <si>
    <t xml:space="preserve">TOTALE FATTURA</t>
  </si>
  <si>
    <t xml:space="preserve">⚠  Righe evidenziate in giallo = veicoli con sforamento chilometrico contrattuale</t>
  </si>
  <si>
    <t xml:space="preserve">FATTURA LEASING FLOTTA  –  Ciclo 2 – Mag 2025  –  N° LEASE-2025-005</t>
  </si>
  <si>
    <t xml:space="preserve">Periodo competenza: 01/05/2025 – 31/05/2025     |     Scadenza pagamento: 30/06/2025     |     Costo extra km: € 0.12/km</t>
  </si>
  <si>
    <t xml:space="preserve">FATTURA LEASING FLOTTA  –  Ciclo 3 – Giu 2025  –  N° LEASE-2025-006</t>
  </si>
  <si>
    <t xml:space="preserve">Periodo competenza: 01/06/2025 – 30/06/2025     |     Scadenza pagamento: 30/07/2025     |     Costo extra km: € 0.12/km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</si>
</sst>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color rgb="FF7F4F00"/>
      <name val="Arial"/>
      <family val="0"/>
      <charset val="1"/>
    </font>
    <font>
      <i val="true"/>
      <sz val="9"/>
      <color rgb="FF7F4F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D6E4F0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7F4F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7" min="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4" t="s">
        <v>10</v>
      </c>
      <c r="D4" s="5" t="n">
        <v>50</v>
      </c>
      <c r="E4" s="6" t="n">
        <f aca="false">'Ciclo 1'!D55</f>
        <v>19205</v>
      </c>
      <c r="F4" s="6" t="n">
        <f aca="false">'Ciclo 1'!H55</f>
        <v>1165.44</v>
      </c>
      <c r="G4" s="6" t="n">
        <f aca="false">'Ciclo 1'!I55</f>
        <v>20370.44</v>
      </c>
    </row>
    <row r="5" customFormat="false" ht="15" hidden="false" customHeight="false" outlineLevel="0" collapsed="false">
      <c r="A5" s="7" t="s">
        <v>11</v>
      </c>
      <c r="B5" s="8" t="s">
        <v>12</v>
      </c>
      <c r="C5" s="8" t="s">
        <v>13</v>
      </c>
      <c r="D5" s="9" t="n">
        <v>50</v>
      </c>
      <c r="E5" s="10" t="n">
        <f aca="false">'Ciclo 2'!D55</f>
        <v>19205</v>
      </c>
      <c r="F5" s="10" t="n">
        <f aca="false">'Ciclo 2'!H55</f>
        <v>1193.76</v>
      </c>
      <c r="G5" s="10" t="n">
        <f aca="false">'Ciclo 2'!I55</f>
        <v>20398.76</v>
      </c>
    </row>
    <row r="6" customFormat="false" ht="15" hidden="false" customHeight="false" outlineLevel="0" collapsed="false">
      <c r="A6" s="3" t="s">
        <v>14</v>
      </c>
      <c r="B6" s="4" t="s">
        <v>15</v>
      </c>
      <c r="C6" s="4" t="s">
        <v>16</v>
      </c>
      <c r="D6" s="5" t="n">
        <v>50</v>
      </c>
      <c r="E6" s="6" t="n">
        <f aca="false">'Ciclo 3'!D55</f>
        <v>19205</v>
      </c>
      <c r="F6" s="6" t="n">
        <f aca="false">'Ciclo 3'!H55</f>
        <v>1083.72</v>
      </c>
      <c r="G6" s="6" t="n">
        <f aca="false">'Ciclo 3'!I55</f>
        <v>20288.72</v>
      </c>
    </row>
    <row r="7" customFormat="false" ht="15" hidden="false" customHeight="false" outlineLevel="0" collapsed="false">
      <c r="A7" s="11" t="s">
        <v>17</v>
      </c>
      <c r="B7" s="11"/>
      <c r="C7" s="11"/>
      <c r="D7" s="12"/>
      <c r="E7" s="13" t="n">
        <f aca="false">SUM(E4:E6)</f>
        <v>57615</v>
      </c>
      <c r="F7" s="13" t="n">
        <f aca="false">SUM(F4:F6)</f>
        <v>3442.92</v>
      </c>
      <c r="G7" s="13" t="n">
        <f aca="false">SUM(G4:G6)</f>
        <v>61057.92</v>
      </c>
    </row>
  </sheetData>
  <mergeCells count="2">
    <mergeCell ref="A1:G1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19</v>
      </c>
      <c r="B2" s="14"/>
      <c r="C2" s="14"/>
      <c r="D2" s="14"/>
      <c r="E2" s="14"/>
      <c r="F2" s="14"/>
      <c r="G2" s="14"/>
      <c r="H2" s="14"/>
      <c r="I2" s="14"/>
    </row>
    <row r="4" customFormat="false" ht="21.75" hidden="false" customHeight="tru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</row>
    <row r="5" customFormat="false" ht="15" hidden="false" customHeight="false" outlineLevel="0" collapsed="false">
      <c r="A5" s="4" t="s">
        <v>29</v>
      </c>
      <c r="B5" s="3" t="s">
        <v>30</v>
      </c>
      <c r="C5" s="5" t="n">
        <v>2021</v>
      </c>
      <c r="D5" s="6" t="n">
        <v>320</v>
      </c>
      <c r="E5" s="15" t="n">
        <v>2000</v>
      </c>
      <c r="F5" s="15" t="n">
        <v>1818</v>
      </c>
      <c r="G5" s="15" t="n">
        <f aca="false">MAX(0,F5-E5)</f>
        <v>0</v>
      </c>
      <c r="H5" s="6" t="n">
        <f aca="false">G5*0.12</f>
        <v>0</v>
      </c>
      <c r="I5" s="6" t="n">
        <f aca="false">D5+H5</f>
        <v>320</v>
      </c>
    </row>
    <row r="6" customFormat="false" ht="15" hidden="false" customHeight="false" outlineLevel="0" collapsed="false">
      <c r="A6" s="16" t="s">
        <v>31</v>
      </c>
      <c r="B6" s="17" t="s">
        <v>32</v>
      </c>
      <c r="C6" s="18" t="n">
        <v>2020</v>
      </c>
      <c r="D6" s="19" t="n">
        <v>480</v>
      </c>
      <c r="E6" s="20" t="n">
        <v>2000</v>
      </c>
      <c r="F6" s="20" t="n">
        <v>2211</v>
      </c>
      <c r="G6" s="20" t="n">
        <f aca="false">MAX(0,F6-E6)</f>
        <v>211</v>
      </c>
      <c r="H6" s="19" t="n">
        <f aca="false">G6*0.12</f>
        <v>25.32</v>
      </c>
      <c r="I6" s="19" t="n">
        <f aca="false">D6+H6</f>
        <v>505.32</v>
      </c>
    </row>
    <row r="7" customFormat="false" ht="15" hidden="false" customHeight="false" outlineLevel="0" collapsed="false">
      <c r="A7" s="4" t="s">
        <v>33</v>
      </c>
      <c r="B7" s="3" t="s">
        <v>34</v>
      </c>
      <c r="C7" s="5" t="n">
        <v>2022</v>
      </c>
      <c r="D7" s="6" t="n">
        <v>440</v>
      </c>
      <c r="E7" s="15" t="n">
        <v>2000</v>
      </c>
      <c r="F7" s="15" t="n">
        <v>1658</v>
      </c>
      <c r="G7" s="15" t="n">
        <f aca="false">MAX(0,F7-E7)</f>
        <v>0</v>
      </c>
      <c r="H7" s="6" t="n">
        <f aca="false">G7*0.12</f>
        <v>0</v>
      </c>
      <c r="I7" s="6" t="n">
        <f aca="false">D7+H7</f>
        <v>440</v>
      </c>
    </row>
    <row r="8" customFormat="false" ht="15" hidden="false" customHeight="false" outlineLevel="0" collapsed="false">
      <c r="A8" s="8" t="s">
        <v>35</v>
      </c>
      <c r="B8" s="7" t="s">
        <v>36</v>
      </c>
      <c r="C8" s="9" t="n">
        <v>2019</v>
      </c>
      <c r="D8" s="10" t="n">
        <v>370</v>
      </c>
      <c r="E8" s="21" t="n">
        <v>2000</v>
      </c>
      <c r="F8" s="21" t="n">
        <v>1529</v>
      </c>
      <c r="G8" s="21" t="n">
        <f aca="false">MAX(0,F8-E8)</f>
        <v>0</v>
      </c>
      <c r="H8" s="10" t="n">
        <f aca="false">G8*0.12</f>
        <v>0</v>
      </c>
      <c r="I8" s="10" t="n">
        <f aca="false">D8+H8</f>
        <v>370</v>
      </c>
    </row>
    <row r="9" customFormat="false" ht="15" hidden="false" customHeight="false" outlineLevel="0" collapsed="false">
      <c r="A9" s="4" t="s">
        <v>37</v>
      </c>
      <c r="B9" s="3" t="s">
        <v>38</v>
      </c>
      <c r="C9" s="5" t="n">
        <v>2021</v>
      </c>
      <c r="D9" s="6" t="n">
        <v>230</v>
      </c>
      <c r="E9" s="15" t="n">
        <v>2000</v>
      </c>
      <c r="F9" s="15" t="n">
        <v>1325</v>
      </c>
      <c r="G9" s="15" t="n">
        <f aca="false">MAX(0,F9-E9)</f>
        <v>0</v>
      </c>
      <c r="H9" s="6" t="n">
        <f aca="false">G9*0.12</f>
        <v>0</v>
      </c>
      <c r="I9" s="6" t="n">
        <f aca="false">D9+H9</f>
        <v>230</v>
      </c>
    </row>
    <row r="10" customFormat="false" ht="15" hidden="false" customHeight="false" outlineLevel="0" collapsed="false">
      <c r="A10" s="16" t="s">
        <v>39</v>
      </c>
      <c r="B10" s="17" t="s">
        <v>40</v>
      </c>
      <c r="C10" s="18" t="n">
        <v>2020</v>
      </c>
      <c r="D10" s="19" t="n">
        <v>620</v>
      </c>
      <c r="E10" s="20" t="n">
        <v>2000</v>
      </c>
      <c r="F10" s="20" t="n">
        <v>2557</v>
      </c>
      <c r="G10" s="20" t="n">
        <f aca="false">MAX(0,F10-E10)</f>
        <v>557</v>
      </c>
      <c r="H10" s="19" t="n">
        <f aca="false">G10*0.12</f>
        <v>66.84</v>
      </c>
      <c r="I10" s="19" t="n">
        <f aca="false">D10+H10</f>
        <v>686.84</v>
      </c>
    </row>
    <row r="11" customFormat="false" ht="15" hidden="false" customHeight="false" outlineLevel="0" collapsed="false">
      <c r="A11" s="16" t="s">
        <v>41</v>
      </c>
      <c r="B11" s="17" t="s">
        <v>42</v>
      </c>
      <c r="C11" s="18" t="n">
        <v>2022</v>
      </c>
      <c r="D11" s="19" t="n">
        <v>280</v>
      </c>
      <c r="E11" s="20" t="n">
        <v>2000</v>
      </c>
      <c r="F11" s="20" t="n">
        <v>2204</v>
      </c>
      <c r="G11" s="20" t="n">
        <f aca="false">MAX(0,F11-E11)</f>
        <v>204</v>
      </c>
      <c r="H11" s="19" t="n">
        <f aca="false">G11*0.12</f>
        <v>24.48</v>
      </c>
      <c r="I11" s="19" t="n">
        <f aca="false">D11+H11</f>
        <v>304.48</v>
      </c>
    </row>
    <row r="12" customFormat="false" ht="15" hidden="false" customHeight="false" outlineLevel="0" collapsed="false">
      <c r="A12" s="16" t="s">
        <v>43</v>
      </c>
      <c r="B12" s="17" t="s">
        <v>44</v>
      </c>
      <c r="C12" s="18" t="n">
        <v>2021</v>
      </c>
      <c r="D12" s="19" t="n">
        <v>275</v>
      </c>
      <c r="E12" s="20" t="n">
        <v>2000</v>
      </c>
      <c r="F12" s="20" t="n">
        <v>2215</v>
      </c>
      <c r="G12" s="20" t="n">
        <f aca="false">MAX(0,F12-E12)</f>
        <v>215</v>
      </c>
      <c r="H12" s="19" t="n">
        <f aca="false">G12*0.12</f>
        <v>25.8</v>
      </c>
      <c r="I12" s="19" t="n">
        <f aca="false">D12+H12</f>
        <v>300.8</v>
      </c>
    </row>
    <row r="13" customFormat="false" ht="15" hidden="false" customHeight="false" outlineLevel="0" collapsed="false">
      <c r="A13" s="16" t="s">
        <v>45</v>
      </c>
      <c r="B13" s="17" t="s">
        <v>46</v>
      </c>
      <c r="C13" s="18" t="n">
        <v>2020</v>
      </c>
      <c r="D13" s="19" t="n">
        <v>390</v>
      </c>
      <c r="E13" s="20" t="n">
        <v>2000</v>
      </c>
      <c r="F13" s="20" t="n">
        <v>3382</v>
      </c>
      <c r="G13" s="20" t="n">
        <f aca="false">MAX(0,F13-E13)</f>
        <v>1382</v>
      </c>
      <c r="H13" s="19" t="n">
        <f aca="false">G13*0.12</f>
        <v>165.84</v>
      </c>
      <c r="I13" s="19" t="n">
        <f aca="false">D13+H13</f>
        <v>555.84</v>
      </c>
    </row>
    <row r="14" customFormat="false" ht="15" hidden="false" customHeight="false" outlineLevel="0" collapsed="false">
      <c r="A14" s="8" t="s">
        <v>47</v>
      </c>
      <c r="B14" s="7" t="s">
        <v>48</v>
      </c>
      <c r="C14" s="9" t="n">
        <v>2019</v>
      </c>
      <c r="D14" s="10" t="n">
        <v>430</v>
      </c>
      <c r="E14" s="21" t="n">
        <v>2000</v>
      </c>
      <c r="F14" s="21" t="n">
        <v>1559</v>
      </c>
      <c r="G14" s="21" t="n">
        <f aca="false">MAX(0,F14-E14)</f>
        <v>0</v>
      </c>
      <c r="H14" s="10" t="n">
        <f aca="false">G14*0.12</f>
        <v>0</v>
      </c>
      <c r="I14" s="10" t="n">
        <f aca="false">D14+H14</f>
        <v>430</v>
      </c>
    </row>
    <row r="15" customFormat="false" ht="15" hidden="false" customHeight="false" outlineLevel="0" collapsed="false">
      <c r="A15" s="4" t="s">
        <v>49</v>
      </c>
      <c r="B15" s="3" t="s">
        <v>50</v>
      </c>
      <c r="C15" s="5" t="n">
        <v>2022</v>
      </c>
      <c r="D15" s="6" t="n">
        <v>340</v>
      </c>
      <c r="E15" s="15" t="n">
        <v>2000</v>
      </c>
      <c r="F15" s="15" t="n">
        <v>1703</v>
      </c>
      <c r="G15" s="15" t="n">
        <f aca="false">MAX(0,F15-E15)</f>
        <v>0</v>
      </c>
      <c r="H15" s="6" t="n">
        <f aca="false">G15*0.12</f>
        <v>0</v>
      </c>
      <c r="I15" s="6" t="n">
        <f aca="false">D15+H15</f>
        <v>340</v>
      </c>
    </row>
    <row r="16" customFormat="false" ht="15" hidden="false" customHeight="false" outlineLevel="0" collapsed="false">
      <c r="A16" s="8" t="s">
        <v>51</v>
      </c>
      <c r="B16" s="7" t="s">
        <v>52</v>
      </c>
      <c r="C16" s="9" t="n">
        <v>2021</v>
      </c>
      <c r="D16" s="10" t="n">
        <v>410</v>
      </c>
      <c r="E16" s="21" t="n">
        <v>2000</v>
      </c>
      <c r="F16" s="21" t="n">
        <v>1384</v>
      </c>
      <c r="G16" s="21" t="n">
        <f aca="false">MAX(0,F16-E16)</f>
        <v>0</v>
      </c>
      <c r="H16" s="10" t="n">
        <f aca="false">G16*0.12</f>
        <v>0</v>
      </c>
      <c r="I16" s="10" t="n">
        <f aca="false">D16+H16</f>
        <v>410</v>
      </c>
    </row>
    <row r="17" customFormat="false" ht="15" hidden="false" customHeight="false" outlineLevel="0" collapsed="false">
      <c r="A17" s="4" t="s">
        <v>53</v>
      </c>
      <c r="B17" s="3" t="s">
        <v>54</v>
      </c>
      <c r="C17" s="5" t="n">
        <v>2020</v>
      </c>
      <c r="D17" s="6" t="n">
        <v>460</v>
      </c>
      <c r="E17" s="15" t="n">
        <v>2000</v>
      </c>
      <c r="F17" s="15" t="n">
        <v>1928</v>
      </c>
      <c r="G17" s="15" t="n">
        <f aca="false">MAX(0,F17-E17)</f>
        <v>0</v>
      </c>
      <c r="H17" s="6" t="n">
        <f aca="false">G17*0.12</f>
        <v>0</v>
      </c>
      <c r="I17" s="6" t="n">
        <f aca="false">D17+H17</f>
        <v>460</v>
      </c>
    </row>
    <row r="18" customFormat="false" ht="15" hidden="false" customHeight="false" outlineLevel="0" collapsed="false">
      <c r="A18" s="8" t="s">
        <v>55</v>
      </c>
      <c r="B18" s="7" t="s">
        <v>56</v>
      </c>
      <c r="C18" s="9" t="n">
        <v>2021</v>
      </c>
      <c r="D18" s="10" t="n">
        <v>550</v>
      </c>
      <c r="E18" s="21" t="n">
        <v>2000</v>
      </c>
      <c r="F18" s="21" t="n">
        <v>1990</v>
      </c>
      <c r="G18" s="21" t="n">
        <f aca="false">MAX(0,F18-E18)</f>
        <v>0</v>
      </c>
      <c r="H18" s="10" t="n">
        <f aca="false">G18*0.12</f>
        <v>0</v>
      </c>
      <c r="I18" s="10" t="n">
        <f aca="false">D18+H18</f>
        <v>550</v>
      </c>
    </row>
    <row r="19" customFormat="false" ht="15" hidden="false" customHeight="false" outlineLevel="0" collapsed="false">
      <c r="A19" s="16" t="s">
        <v>57</v>
      </c>
      <c r="B19" s="17" t="s">
        <v>58</v>
      </c>
      <c r="C19" s="18" t="n">
        <v>2019</v>
      </c>
      <c r="D19" s="19" t="n">
        <v>490</v>
      </c>
      <c r="E19" s="20" t="n">
        <v>2000</v>
      </c>
      <c r="F19" s="20" t="n">
        <v>3184</v>
      </c>
      <c r="G19" s="20" t="n">
        <f aca="false">MAX(0,F19-E19)</f>
        <v>1184</v>
      </c>
      <c r="H19" s="19" t="n">
        <f aca="false">G19*0.12</f>
        <v>142.08</v>
      </c>
      <c r="I19" s="19" t="n">
        <f aca="false">D19+H19</f>
        <v>632.08</v>
      </c>
    </row>
    <row r="20" customFormat="false" ht="15" hidden="false" customHeight="false" outlineLevel="0" collapsed="false">
      <c r="A20" s="16" t="s">
        <v>59</v>
      </c>
      <c r="B20" s="17" t="s">
        <v>60</v>
      </c>
      <c r="C20" s="18" t="n">
        <v>2020</v>
      </c>
      <c r="D20" s="19" t="n">
        <v>400</v>
      </c>
      <c r="E20" s="20" t="n">
        <v>2000</v>
      </c>
      <c r="F20" s="20" t="n">
        <v>2626</v>
      </c>
      <c r="G20" s="20" t="n">
        <f aca="false">MAX(0,F20-E20)</f>
        <v>626</v>
      </c>
      <c r="H20" s="19" t="n">
        <f aca="false">G20*0.12</f>
        <v>75.12</v>
      </c>
      <c r="I20" s="19" t="n">
        <f aca="false">D20+H20</f>
        <v>475.12</v>
      </c>
    </row>
    <row r="21" customFormat="false" ht="15" hidden="false" customHeight="false" outlineLevel="0" collapsed="false">
      <c r="A21" s="4" t="s">
        <v>61</v>
      </c>
      <c r="B21" s="3" t="s">
        <v>62</v>
      </c>
      <c r="C21" s="5" t="n">
        <v>2022</v>
      </c>
      <c r="D21" s="6" t="n">
        <v>420</v>
      </c>
      <c r="E21" s="15" t="n">
        <v>2000</v>
      </c>
      <c r="F21" s="15" t="n">
        <v>1106</v>
      </c>
      <c r="G21" s="15" t="n">
        <f aca="false">MAX(0,F21-E21)</f>
        <v>0</v>
      </c>
      <c r="H21" s="6" t="n">
        <f aca="false">G21*0.12</f>
        <v>0</v>
      </c>
      <c r="I21" s="6" t="n">
        <f aca="false">D21+H21</f>
        <v>420</v>
      </c>
    </row>
    <row r="22" customFormat="false" ht="15" hidden="false" customHeight="false" outlineLevel="0" collapsed="false">
      <c r="A22" s="16" t="s">
        <v>63</v>
      </c>
      <c r="B22" s="17" t="s">
        <v>64</v>
      </c>
      <c r="C22" s="18" t="n">
        <v>2021</v>
      </c>
      <c r="D22" s="19" t="n">
        <v>360</v>
      </c>
      <c r="E22" s="20" t="n">
        <v>2000</v>
      </c>
      <c r="F22" s="20" t="n">
        <v>2597</v>
      </c>
      <c r="G22" s="20" t="n">
        <f aca="false">MAX(0,F22-E22)</f>
        <v>597</v>
      </c>
      <c r="H22" s="19" t="n">
        <f aca="false">G22*0.12</f>
        <v>71.64</v>
      </c>
      <c r="I22" s="19" t="n">
        <f aca="false">D22+H22</f>
        <v>431.64</v>
      </c>
    </row>
    <row r="23" customFormat="false" ht="15" hidden="false" customHeight="false" outlineLevel="0" collapsed="false">
      <c r="A23" s="4" t="s">
        <v>65</v>
      </c>
      <c r="B23" s="3" t="s">
        <v>66</v>
      </c>
      <c r="C23" s="5" t="n">
        <v>2020</v>
      </c>
      <c r="D23" s="6" t="n">
        <v>530</v>
      </c>
      <c r="E23" s="15" t="n">
        <v>2000</v>
      </c>
      <c r="F23" s="15" t="n">
        <v>1877</v>
      </c>
      <c r="G23" s="15" t="n">
        <f aca="false">MAX(0,F23-E23)</f>
        <v>0</v>
      </c>
      <c r="H23" s="6" t="n">
        <f aca="false">G23*0.12</f>
        <v>0</v>
      </c>
      <c r="I23" s="6" t="n">
        <f aca="false">D23+H23</f>
        <v>530</v>
      </c>
    </row>
    <row r="24" customFormat="false" ht="15" hidden="false" customHeight="false" outlineLevel="0" collapsed="false">
      <c r="A24" s="8" t="s">
        <v>67</v>
      </c>
      <c r="B24" s="7" t="s">
        <v>68</v>
      </c>
      <c r="C24" s="9" t="n">
        <v>2019</v>
      </c>
      <c r="D24" s="10" t="n">
        <v>345</v>
      </c>
      <c r="E24" s="21" t="n">
        <v>2000</v>
      </c>
      <c r="F24" s="21" t="n">
        <v>1925</v>
      </c>
      <c r="G24" s="21" t="n">
        <f aca="false">MAX(0,F24-E24)</f>
        <v>0</v>
      </c>
      <c r="H24" s="10" t="n">
        <f aca="false">G24*0.12</f>
        <v>0</v>
      </c>
      <c r="I24" s="10" t="n">
        <f aca="false">D24+H24</f>
        <v>345</v>
      </c>
    </row>
    <row r="25" customFormat="false" ht="15" hidden="false" customHeight="false" outlineLevel="0" collapsed="false">
      <c r="A25" s="4" t="s">
        <v>69</v>
      </c>
      <c r="B25" s="3" t="s">
        <v>70</v>
      </c>
      <c r="C25" s="5" t="n">
        <v>2021</v>
      </c>
      <c r="D25" s="6" t="n">
        <v>185</v>
      </c>
      <c r="E25" s="15" t="n">
        <v>2000</v>
      </c>
      <c r="F25" s="15" t="n">
        <v>1263</v>
      </c>
      <c r="G25" s="15" t="n">
        <f aca="false">MAX(0,F25-E25)</f>
        <v>0</v>
      </c>
      <c r="H25" s="6" t="n">
        <f aca="false">G25*0.12</f>
        <v>0</v>
      </c>
      <c r="I25" s="6" t="n">
        <f aca="false">D25+H25</f>
        <v>185</v>
      </c>
    </row>
    <row r="26" customFormat="false" ht="15" hidden="false" customHeight="false" outlineLevel="0" collapsed="false">
      <c r="A26" s="8" t="s">
        <v>71</v>
      </c>
      <c r="B26" s="7" t="s">
        <v>72</v>
      </c>
      <c r="C26" s="9" t="n">
        <v>2020</v>
      </c>
      <c r="D26" s="10" t="n">
        <v>290</v>
      </c>
      <c r="E26" s="21" t="n">
        <v>2000</v>
      </c>
      <c r="F26" s="21" t="n">
        <v>1814</v>
      </c>
      <c r="G26" s="21" t="n">
        <f aca="false">MAX(0,F26-E26)</f>
        <v>0</v>
      </c>
      <c r="H26" s="10" t="n">
        <f aca="false">G26*0.12</f>
        <v>0</v>
      </c>
      <c r="I26" s="10" t="n">
        <f aca="false">D26+H26</f>
        <v>290</v>
      </c>
    </row>
    <row r="27" customFormat="false" ht="15" hidden="false" customHeight="false" outlineLevel="0" collapsed="false">
      <c r="A27" s="4" t="s">
        <v>73</v>
      </c>
      <c r="B27" s="3" t="s">
        <v>74</v>
      </c>
      <c r="C27" s="5" t="n">
        <v>2022</v>
      </c>
      <c r="D27" s="6" t="n">
        <v>305</v>
      </c>
      <c r="E27" s="15" t="n">
        <v>2000</v>
      </c>
      <c r="F27" s="15" t="n">
        <v>1532</v>
      </c>
      <c r="G27" s="15" t="n">
        <f aca="false">MAX(0,F27-E27)</f>
        <v>0</v>
      </c>
      <c r="H27" s="6" t="n">
        <f aca="false">G27*0.12</f>
        <v>0</v>
      </c>
      <c r="I27" s="6" t="n">
        <f aca="false">D27+H27</f>
        <v>305</v>
      </c>
    </row>
    <row r="28" customFormat="false" ht="15" hidden="false" customHeight="false" outlineLevel="0" collapsed="false">
      <c r="A28" s="8" t="s">
        <v>75</v>
      </c>
      <c r="B28" s="7" t="s">
        <v>76</v>
      </c>
      <c r="C28" s="9" t="n">
        <v>2021</v>
      </c>
      <c r="D28" s="10" t="n">
        <v>250</v>
      </c>
      <c r="E28" s="21" t="n">
        <v>2000</v>
      </c>
      <c r="F28" s="21" t="n">
        <v>1448</v>
      </c>
      <c r="G28" s="21" t="n">
        <f aca="false">MAX(0,F28-E28)</f>
        <v>0</v>
      </c>
      <c r="H28" s="10" t="n">
        <f aca="false">G28*0.12</f>
        <v>0</v>
      </c>
      <c r="I28" s="10" t="n">
        <f aca="false">D28+H28</f>
        <v>250</v>
      </c>
    </row>
    <row r="29" customFormat="false" ht="15" hidden="false" customHeight="false" outlineLevel="0" collapsed="false">
      <c r="A29" s="4" t="s">
        <v>77</v>
      </c>
      <c r="B29" s="3" t="s">
        <v>78</v>
      </c>
      <c r="C29" s="5" t="n">
        <v>2022</v>
      </c>
      <c r="D29" s="6" t="n">
        <v>270</v>
      </c>
      <c r="E29" s="15" t="n">
        <v>2000</v>
      </c>
      <c r="F29" s="15" t="n">
        <v>1384</v>
      </c>
      <c r="G29" s="15" t="n">
        <f aca="false">MAX(0,F29-E29)</f>
        <v>0</v>
      </c>
      <c r="H29" s="6" t="n">
        <f aca="false">G29*0.12</f>
        <v>0</v>
      </c>
      <c r="I29" s="6" t="n">
        <f aca="false">D29+H29</f>
        <v>270</v>
      </c>
    </row>
    <row r="30" customFormat="false" ht="15" hidden="false" customHeight="false" outlineLevel="0" collapsed="false">
      <c r="A30" s="8" t="s">
        <v>79</v>
      </c>
      <c r="B30" s="7" t="s">
        <v>80</v>
      </c>
      <c r="C30" s="9" t="n">
        <v>2021</v>
      </c>
      <c r="D30" s="10" t="n">
        <v>240</v>
      </c>
      <c r="E30" s="21" t="n">
        <v>2000</v>
      </c>
      <c r="F30" s="21" t="n">
        <v>1259</v>
      </c>
      <c r="G30" s="21" t="n">
        <f aca="false">MAX(0,F30-E30)</f>
        <v>0</v>
      </c>
      <c r="H30" s="10" t="n">
        <f aca="false">G30*0.12</f>
        <v>0</v>
      </c>
      <c r="I30" s="10" t="n">
        <f aca="false">D30+H30</f>
        <v>240</v>
      </c>
    </row>
    <row r="31" customFormat="false" ht="15" hidden="false" customHeight="false" outlineLevel="0" collapsed="false">
      <c r="A31" s="4" t="s">
        <v>81</v>
      </c>
      <c r="B31" s="3" t="s">
        <v>82</v>
      </c>
      <c r="C31" s="5" t="n">
        <v>2020</v>
      </c>
      <c r="D31" s="6" t="n">
        <v>310</v>
      </c>
      <c r="E31" s="15" t="n">
        <v>2000</v>
      </c>
      <c r="F31" s="15" t="n">
        <v>1320</v>
      </c>
      <c r="G31" s="15" t="n">
        <f aca="false">MAX(0,F31-E31)</f>
        <v>0</v>
      </c>
      <c r="H31" s="6" t="n">
        <f aca="false">G31*0.12</f>
        <v>0</v>
      </c>
      <c r="I31" s="6" t="n">
        <f aca="false">D31+H31</f>
        <v>310</v>
      </c>
    </row>
    <row r="32" customFormat="false" ht="15" hidden="false" customHeight="false" outlineLevel="0" collapsed="false">
      <c r="A32" s="16" t="s">
        <v>83</v>
      </c>
      <c r="B32" s="17" t="s">
        <v>84</v>
      </c>
      <c r="C32" s="18" t="n">
        <v>2019</v>
      </c>
      <c r="D32" s="19" t="n">
        <v>265</v>
      </c>
      <c r="E32" s="20" t="n">
        <v>2000</v>
      </c>
      <c r="F32" s="20" t="n">
        <v>3480</v>
      </c>
      <c r="G32" s="20" t="n">
        <f aca="false">MAX(0,F32-E32)</f>
        <v>1480</v>
      </c>
      <c r="H32" s="19" t="n">
        <f aca="false">G32*0.12</f>
        <v>177.6</v>
      </c>
      <c r="I32" s="19" t="n">
        <f aca="false">D32+H32</f>
        <v>442.6</v>
      </c>
    </row>
    <row r="33" customFormat="false" ht="15" hidden="false" customHeight="false" outlineLevel="0" collapsed="false">
      <c r="A33" s="4" t="s">
        <v>85</v>
      </c>
      <c r="B33" s="3" t="s">
        <v>86</v>
      </c>
      <c r="C33" s="5" t="n">
        <v>2021</v>
      </c>
      <c r="D33" s="6" t="n">
        <v>255</v>
      </c>
      <c r="E33" s="15" t="n">
        <v>2000</v>
      </c>
      <c r="F33" s="15" t="n">
        <v>1881</v>
      </c>
      <c r="G33" s="15" t="n">
        <f aca="false">MAX(0,F33-E33)</f>
        <v>0</v>
      </c>
      <c r="H33" s="6" t="n">
        <f aca="false">G33*0.12</f>
        <v>0</v>
      </c>
      <c r="I33" s="6" t="n">
        <f aca="false">D33+H33</f>
        <v>255</v>
      </c>
    </row>
    <row r="34" customFormat="false" ht="15" hidden="false" customHeight="false" outlineLevel="0" collapsed="false">
      <c r="A34" s="8" t="s">
        <v>87</v>
      </c>
      <c r="B34" s="7" t="s">
        <v>88</v>
      </c>
      <c r="C34" s="9" t="n">
        <v>2022</v>
      </c>
      <c r="D34" s="10" t="n">
        <v>195</v>
      </c>
      <c r="E34" s="21" t="n">
        <v>2000</v>
      </c>
      <c r="F34" s="21" t="n">
        <v>1444</v>
      </c>
      <c r="G34" s="21" t="n">
        <f aca="false">MAX(0,F34-E34)</f>
        <v>0</v>
      </c>
      <c r="H34" s="10" t="n">
        <f aca="false">G34*0.12</f>
        <v>0</v>
      </c>
      <c r="I34" s="10" t="n">
        <f aca="false">D34+H34</f>
        <v>195</v>
      </c>
    </row>
    <row r="35" customFormat="false" ht="15" hidden="false" customHeight="false" outlineLevel="0" collapsed="false">
      <c r="A35" s="4" t="s">
        <v>89</v>
      </c>
      <c r="B35" s="3" t="s">
        <v>90</v>
      </c>
      <c r="C35" s="5" t="n">
        <v>2020</v>
      </c>
      <c r="D35" s="6" t="n">
        <v>420</v>
      </c>
      <c r="E35" s="15" t="n">
        <v>2000</v>
      </c>
      <c r="F35" s="15" t="n">
        <v>1204</v>
      </c>
      <c r="G35" s="15" t="n">
        <f aca="false">MAX(0,F35-E35)</f>
        <v>0</v>
      </c>
      <c r="H35" s="6" t="n">
        <f aca="false">G35*0.12</f>
        <v>0</v>
      </c>
      <c r="I35" s="6" t="n">
        <f aca="false">D35+H35</f>
        <v>420</v>
      </c>
    </row>
    <row r="36" customFormat="false" ht="15" hidden="false" customHeight="false" outlineLevel="0" collapsed="false">
      <c r="A36" s="8" t="s">
        <v>91</v>
      </c>
      <c r="B36" s="7" t="s">
        <v>92</v>
      </c>
      <c r="C36" s="9" t="n">
        <v>2021</v>
      </c>
      <c r="D36" s="10" t="n">
        <v>580</v>
      </c>
      <c r="E36" s="21" t="n">
        <v>2000</v>
      </c>
      <c r="F36" s="21" t="n">
        <v>1194</v>
      </c>
      <c r="G36" s="21" t="n">
        <f aca="false">MAX(0,F36-E36)</f>
        <v>0</v>
      </c>
      <c r="H36" s="10" t="n">
        <f aca="false">G36*0.12</f>
        <v>0</v>
      </c>
      <c r="I36" s="10" t="n">
        <f aca="false">D36+H36</f>
        <v>580</v>
      </c>
    </row>
    <row r="37" customFormat="false" ht="15" hidden="false" customHeight="false" outlineLevel="0" collapsed="false">
      <c r="A37" s="4" t="s">
        <v>93</v>
      </c>
      <c r="B37" s="3" t="s">
        <v>94</v>
      </c>
      <c r="C37" s="5" t="n">
        <v>2020</v>
      </c>
      <c r="D37" s="6" t="n">
        <v>610</v>
      </c>
      <c r="E37" s="15" t="n">
        <v>2000</v>
      </c>
      <c r="F37" s="15" t="n">
        <v>1489</v>
      </c>
      <c r="G37" s="15" t="n">
        <f aca="false">MAX(0,F37-E37)</f>
        <v>0</v>
      </c>
      <c r="H37" s="6" t="n">
        <f aca="false">G37*0.12</f>
        <v>0</v>
      </c>
      <c r="I37" s="6" t="n">
        <f aca="false">D37+H37</f>
        <v>610</v>
      </c>
    </row>
    <row r="38" customFormat="false" ht="15" hidden="false" customHeight="false" outlineLevel="0" collapsed="false">
      <c r="A38" s="8" t="s">
        <v>95</v>
      </c>
      <c r="B38" s="7" t="s">
        <v>96</v>
      </c>
      <c r="C38" s="9" t="n">
        <v>2022</v>
      </c>
      <c r="D38" s="10" t="n">
        <v>650</v>
      </c>
      <c r="E38" s="21" t="n">
        <v>2000</v>
      </c>
      <c r="F38" s="21" t="n">
        <v>1199</v>
      </c>
      <c r="G38" s="21" t="n">
        <f aca="false">MAX(0,F38-E38)</f>
        <v>0</v>
      </c>
      <c r="H38" s="10" t="n">
        <f aca="false">G38*0.12</f>
        <v>0</v>
      </c>
      <c r="I38" s="10" t="n">
        <f aca="false">D38+H38</f>
        <v>650</v>
      </c>
    </row>
    <row r="39" customFormat="false" ht="15" hidden="false" customHeight="false" outlineLevel="0" collapsed="false">
      <c r="A39" s="16" t="s">
        <v>97</v>
      </c>
      <c r="B39" s="17" t="s">
        <v>98</v>
      </c>
      <c r="C39" s="18" t="n">
        <v>2021</v>
      </c>
      <c r="D39" s="19" t="n">
        <v>540</v>
      </c>
      <c r="E39" s="20" t="n">
        <v>2000</v>
      </c>
      <c r="F39" s="20" t="n">
        <v>3299</v>
      </c>
      <c r="G39" s="20" t="n">
        <f aca="false">MAX(0,F39-E39)</f>
        <v>1299</v>
      </c>
      <c r="H39" s="19" t="n">
        <f aca="false">G39*0.12</f>
        <v>155.88</v>
      </c>
      <c r="I39" s="19" t="n">
        <f aca="false">D39+H39</f>
        <v>695.88</v>
      </c>
    </row>
    <row r="40" customFormat="false" ht="15" hidden="false" customHeight="false" outlineLevel="0" collapsed="false">
      <c r="A40" s="8" t="s">
        <v>99</v>
      </c>
      <c r="B40" s="7" t="s">
        <v>100</v>
      </c>
      <c r="C40" s="9" t="n">
        <v>2022</v>
      </c>
      <c r="D40" s="10" t="n">
        <v>380</v>
      </c>
      <c r="E40" s="21" t="n">
        <v>2000</v>
      </c>
      <c r="F40" s="21" t="n">
        <v>1467</v>
      </c>
      <c r="G40" s="21" t="n">
        <f aca="false">MAX(0,F40-E40)</f>
        <v>0</v>
      </c>
      <c r="H40" s="10" t="n">
        <f aca="false">G40*0.12</f>
        <v>0</v>
      </c>
      <c r="I40" s="10" t="n">
        <f aca="false">D40+H40</f>
        <v>380</v>
      </c>
    </row>
    <row r="41" customFormat="false" ht="15" hidden="false" customHeight="false" outlineLevel="0" collapsed="false">
      <c r="A41" s="4" t="s">
        <v>101</v>
      </c>
      <c r="B41" s="3" t="s">
        <v>102</v>
      </c>
      <c r="C41" s="5" t="n">
        <v>2019</v>
      </c>
      <c r="D41" s="6" t="n">
        <v>370</v>
      </c>
      <c r="E41" s="15" t="n">
        <v>2000</v>
      </c>
      <c r="F41" s="15" t="n">
        <v>1967</v>
      </c>
      <c r="G41" s="15" t="n">
        <f aca="false">MAX(0,F41-E41)</f>
        <v>0</v>
      </c>
      <c r="H41" s="6" t="n">
        <f aca="false">G41*0.12</f>
        <v>0</v>
      </c>
      <c r="I41" s="6" t="n">
        <f aca="false">D41+H41</f>
        <v>370</v>
      </c>
    </row>
    <row r="42" customFormat="false" ht="15" hidden="false" customHeight="false" outlineLevel="0" collapsed="false">
      <c r="A42" s="16" t="s">
        <v>103</v>
      </c>
      <c r="B42" s="17" t="s">
        <v>104</v>
      </c>
      <c r="C42" s="18" t="n">
        <v>2020</v>
      </c>
      <c r="D42" s="19" t="n">
        <v>430</v>
      </c>
      <c r="E42" s="20" t="n">
        <v>2000</v>
      </c>
      <c r="F42" s="20" t="n">
        <v>3616</v>
      </c>
      <c r="G42" s="20" t="n">
        <f aca="false">MAX(0,F42-E42)</f>
        <v>1616</v>
      </c>
      <c r="H42" s="19" t="n">
        <f aca="false">G42*0.12</f>
        <v>193.92</v>
      </c>
      <c r="I42" s="19" t="n">
        <f aca="false">D42+H42</f>
        <v>623.92</v>
      </c>
    </row>
    <row r="43" customFormat="false" ht="15" hidden="false" customHeight="false" outlineLevel="0" collapsed="false">
      <c r="A43" s="4" t="s">
        <v>105</v>
      </c>
      <c r="B43" s="3" t="s">
        <v>106</v>
      </c>
      <c r="C43" s="5" t="n">
        <v>2021</v>
      </c>
      <c r="D43" s="6" t="n">
        <v>415</v>
      </c>
      <c r="E43" s="15" t="n">
        <v>2000</v>
      </c>
      <c r="F43" s="15" t="n">
        <v>1452</v>
      </c>
      <c r="G43" s="15" t="n">
        <f aca="false">MAX(0,F43-E43)</f>
        <v>0</v>
      </c>
      <c r="H43" s="6" t="n">
        <f aca="false">G43*0.12</f>
        <v>0</v>
      </c>
      <c r="I43" s="6" t="n">
        <f aca="false">D43+H43</f>
        <v>415</v>
      </c>
    </row>
    <row r="44" customFormat="false" ht="15" hidden="false" customHeight="false" outlineLevel="0" collapsed="false">
      <c r="A44" s="8" t="s">
        <v>107</v>
      </c>
      <c r="B44" s="7" t="s">
        <v>108</v>
      </c>
      <c r="C44" s="9" t="n">
        <v>2022</v>
      </c>
      <c r="D44" s="10" t="n">
        <v>435</v>
      </c>
      <c r="E44" s="21" t="n">
        <v>2000</v>
      </c>
      <c r="F44" s="21" t="n">
        <v>1718</v>
      </c>
      <c r="G44" s="21" t="n">
        <f aca="false">MAX(0,F44-E44)</f>
        <v>0</v>
      </c>
      <c r="H44" s="10" t="n">
        <f aca="false">G44*0.12</f>
        <v>0</v>
      </c>
      <c r="I44" s="10" t="n">
        <f aca="false">D44+H44</f>
        <v>435</v>
      </c>
    </row>
    <row r="45" customFormat="false" ht="15" hidden="false" customHeight="false" outlineLevel="0" collapsed="false">
      <c r="A45" s="4" t="s">
        <v>109</v>
      </c>
      <c r="B45" s="3" t="s">
        <v>110</v>
      </c>
      <c r="C45" s="5" t="n">
        <v>2021</v>
      </c>
      <c r="D45" s="6" t="n">
        <v>275</v>
      </c>
      <c r="E45" s="15" t="n">
        <v>2000</v>
      </c>
      <c r="F45" s="15" t="n">
        <v>1370</v>
      </c>
      <c r="G45" s="15" t="n">
        <f aca="false">MAX(0,F45-E45)</f>
        <v>0</v>
      </c>
      <c r="H45" s="6" t="n">
        <f aca="false">G45*0.12</f>
        <v>0</v>
      </c>
      <c r="I45" s="6" t="n">
        <f aca="false">D45+H45</f>
        <v>275</v>
      </c>
    </row>
    <row r="46" customFormat="false" ht="15" hidden="false" customHeight="false" outlineLevel="0" collapsed="false">
      <c r="A46" s="8" t="s">
        <v>111</v>
      </c>
      <c r="B46" s="7" t="s">
        <v>112</v>
      </c>
      <c r="C46" s="9" t="n">
        <v>2020</v>
      </c>
      <c r="D46" s="10" t="n">
        <v>260</v>
      </c>
      <c r="E46" s="21" t="n">
        <v>2000</v>
      </c>
      <c r="F46" s="21" t="n">
        <v>1926</v>
      </c>
      <c r="G46" s="21" t="n">
        <f aca="false">MAX(0,F46-E46)</f>
        <v>0</v>
      </c>
      <c r="H46" s="10" t="n">
        <f aca="false">G46*0.12</f>
        <v>0</v>
      </c>
      <c r="I46" s="10" t="n">
        <f aca="false">D46+H46</f>
        <v>260</v>
      </c>
    </row>
    <row r="47" customFormat="false" ht="15" hidden="false" customHeight="false" outlineLevel="0" collapsed="false">
      <c r="A47" s="4" t="s">
        <v>113</v>
      </c>
      <c r="B47" s="3" t="s">
        <v>114</v>
      </c>
      <c r="C47" s="5" t="n">
        <v>2019</v>
      </c>
      <c r="D47" s="6" t="n">
        <v>270</v>
      </c>
      <c r="E47" s="15" t="n">
        <v>2000</v>
      </c>
      <c r="F47" s="15" t="n">
        <v>1144</v>
      </c>
      <c r="G47" s="15" t="n">
        <f aca="false">MAX(0,F47-E47)</f>
        <v>0</v>
      </c>
      <c r="H47" s="6" t="n">
        <f aca="false">G47*0.12</f>
        <v>0</v>
      </c>
      <c r="I47" s="6" t="n">
        <f aca="false">D47+H47</f>
        <v>270</v>
      </c>
    </row>
    <row r="48" customFormat="false" ht="15" hidden="false" customHeight="false" outlineLevel="0" collapsed="false">
      <c r="A48" s="8" t="s">
        <v>115</v>
      </c>
      <c r="B48" s="7" t="s">
        <v>116</v>
      </c>
      <c r="C48" s="9" t="n">
        <v>2021</v>
      </c>
      <c r="D48" s="10" t="n">
        <v>295</v>
      </c>
      <c r="E48" s="21" t="n">
        <v>2000</v>
      </c>
      <c r="F48" s="21" t="n">
        <v>1847</v>
      </c>
      <c r="G48" s="21" t="n">
        <f aca="false">MAX(0,F48-E48)</f>
        <v>0</v>
      </c>
      <c r="H48" s="10" t="n">
        <f aca="false">G48*0.12</f>
        <v>0</v>
      </c>
      <c r="I48" s="10" t="n">
        <f aca="false">D48+H48</f>
        <v>295</v>
      </c>
    </row>
    <row r="49" customFormat="false" ht="15" hidden="false" customHeight="false" outlineLevel="0" collapsed="false">
      <c r="A49" s="4" t="s">
        <v>117</v>
      </c>
      <c r="B49" s="3" t="s">
        <v>118</v>
      </c>
      <c r="C49" s="5" t="n">
        <v>2020</v>
      </c>
      <c r="D49" s="6" t="n">
        <v>390</v>
      </c>
      <c r="E49" s="15" t="n">
        <v>2000</v>
      </c>
      <c r="F49" s="15" t="n">
        <v>1570</v>
      </c>
      <c r="G49" s="15" t="n">
        <f aca="false">MAX(0,F49-E49)</f>
        <v>0</v>
      </c>
      <c r="H49" s="6" t="n">
        <f aca="false">G49*0.12</f>
        <v>0</v>
      </c>
      <c r="I49" s="6" t="n">
        <f aca="false">D49+H49</f>
        <v>390</v>
      </c>
    </row>
    <row r="50" customFormat="false" ht="15" hidden="false" customHeight="false" outlineLevel="0" collapsed="false">
      <c r="A50" s="8" t="s">
        <v>119</v>
      </c>
      <c r="B50" s="7" t="s">
        <v>120</v>
      </c>
      <c r="C50" s="9" t="n">
        <v>2022</v>
      </c>
      <c r="D50" s="10" t="n">
        <v>440</v>
      </c>
      <c r="E50" s="21" t="n">
        <v>2000</v>
      </c>
      <c r="F50" s="21" t="n">
        <v>1649</v>
      </c>
      <c r="G50" s="21" t="n">
        <f aca="false">MAX(0,F50-E50)</f>
        <v>0</v>
      </c>
      <c r="H50" s="10" t="n">
        <f aca="false">G50*0.12</f>
        <v>0</v>
      </c>
      <c r="I50" s="10" t="n">
        <f aca="false">D50+H50</f>
        <v>440</v>
      </c>
    </row>
    <row r="51" customFormat="false" ht="15" hidden="false" customHeight="false" outlineLevel="0" collapsed="false">
      <c r="A51" s="4" t="s">
        <v>121</v>
      </c>
      <c r="B51" s="3" t="s">
        <v>122</v>
      </c>
      <c r="C51" s="5" t="n">
        <v>2021</v>
      </c>
      <c r="D51" s="6" t="n">
        <v>480</v>
      </c>
      <c r="E51" s="15" t="n">
        <v>2000</v>
      </c>
      <c r="F51" s="15" t="n">
        <v>1227</v>
      </c>
      <c r="G51" s="15" t="n">
        <f aca="false">MAX(0,F51-E51)</f>
        <v>0</v>
      </c>
      <c r="H51" s="6" t="n">
        <f aca="false">G51*0.12</f>
        <v>0</v>
      </c>
      <c r="I51" s="6" t="n">
        <f aca="false">D51+H51</f>
        <v>480</v>
      </c>
    </row>
    <row r="52" customFormat="false" ht="15" hidden="false" customHeight="false" outlineLevel="0" collapsed="false">
      <c r="A52" s="16" t="s">
        <v>123</v>
      </c>
      <c r="B52" s="17" t="s">
        <v>124</v>
      </c>
      <c r="C52" s="18" t="n">
        <v>2020</v>
      </c>
      <c r="D52" s="19" t="n">
        <v>420</v>
      </c>
      <c r="E52" s="20" t="n">
        <v>2000</v>
      </c>
      <c r="F52" s="20" t="n">
        <v>2341</v>
      </c>
      <c r="G52" s="20" t="n">
        <f aca="false">MAX(0,F52-E52)</f>
        <v>341</v>
      </c>
      <c r="H52" s="19" t="n">
        <f aca="false">G52*0.12</f>
        <v>40.92</v>
      </c>
      <c r="I52" s="19" t="n">
        <f aca="false">D52+H52</f>
        <v>460.92</v>
      </c>
    </row>
    <row r="53" customFormat="false" ht="15" hidden="false" customHeight="false" outlineLevel="0" collapsed="false">
      <c r="A53" s="4" t="s">
        <v>125</v>
      </c>
      <c r="B53" s="3" t="s">
        <v>126</v>
      </c>
      <c r="C53" s="5" t="n">
        <v>2022</v>
      </c>
      <c r="D53" s="6" t="n">
        <v>455</v>
      </c>
      <c r="E53" s="15" t="n">
        <v>2000</v>
      </c>
      <c r="F53" s="15" t="n">
        <v>1487</v>
      </c>
      <c r="G53" s="15" t="n">
        <f aca="false">MAX(0,F53-E53)</f>
        <v>0</v>
      </c>
      <c r="H53" s="6" t="n">
        <f aca="false">G53*0.12</f>
        <v>0</v>
      </c>
      <c r="I53" s="6" t="n">
        <f aca="false">D53+H53</f>
        <v>455</v>
      </c>
    </row>
    <row r="54" customFormat="false" ht="15" hidden="false" customHeight="false" outlineLevel="0" collapsed="false">
      <c r="A54" s="8" t="s">
        <v>127</v>
      </c>
      <c r="B54" s="7" t="s">
        <v>128</v>
      </c>
      <c r="C54" s="9" t="n">
        <v>2021</v>
      </c>
      <c r="D54" s="10" t="n">
        <v>385</v>
      </c>
      <c r="E54" s="21" t="n">
        <v>2000</v>
      </c>
      <c r="F54" s="21" t="n">
        <v>1180</v>
      </c>
      <c r="G54" s="21" t="n">
        <f aca="false">MAX(0,F54-E54)</f>
        <v>0</v>
      </c>
      <c r="H54" s="10" t="n">
        <f aca="false">G54*0.12</f>
        <v>0</v>
      </c>
      <c r="I54" s="10" t="n">
        <f aca="false">D54+H54</f>
        <v>385</v>
      </c>
    </row>
    <row r="55" customFormat="false" ht="15" hidden="false" customHeight="false" outlineLevel="0" collapsed="false">
      <c r="A55" s="11" t="s">
        <v>129</v>
      </c>
      <c r="B55" s="11"/>
      <c r="C55" s="11"/>
      <c r="D55" s="13" t="n">
        <f aca="false">SUM(D5:D54)</f>
        <v>19205</v>
      </c>
      <c r="E55" s="22"/>
      <c r="F55" s="22"/>
      <c r="G55" s="23" t="n">
        <f aca="false">SUM(G5:G54)</f>
        <v>9712</v>
      </c>
      <c r="H55" s="13" t="n">
        <f aca="false">SUM(H5:H54)</f>
        <v>1165.44</v>
      </c>
      <c r="I55" s="13" t="n">
        <f aca="false">SUM(I5:I54)</f>
        <v>20370.44</v>
      </c>
    </row>
    <row r="57" customFormat="false" ht="15" hidden="false" customHeight="false" outlineLevel="0" collapsed="false">
      <c r="A57" s="24" t="s">
        <v>130</v>
      </c>
      <c r="B57" s="24"/>
      <c r="C57" s="24"/>
      <c r="D57" s="24"/>
      <c r="E57" s="24"/>
      <c r="F57" s="24"/>
      <c r="G57" s="24"/>
      <c r="H57" s="24"/>
      <c r="I57" s="24"/>
    </row>
  </sheetData>
  <mergeCells count="4">
    <mergeCell ref="A1:I1"/>
    <mergeCell ref="A2:I2"/>
    <mergeCell ref="A55:C55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132</v>
      </c>
      <c r="B2" s="14"/>
      <c r="C2" s="14"/>
      <c r="D2" s="14"/>
      <c r="E2" s="14"/>
      <c r="F2" s="14"/>
      <c r="G2" s="14"/>
      <c r="H2" s="14"/>
      <c r="I2" s="14"/>
    </row>
    <row r="4" customFormat="false" ht="21.75" hidden="false" customHeight="tru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</row>
    <row r="5" customFormat="false" ht="15" hidden="false" customHeight="false" outlineLevel="0" collapsed="false">
      <c r="A5" s="16" t="s">
        <v>29</v>
      </c>
      <c r="B5" s="17" t="s">
        <v>30</v>
      </c>
      <c r="C5" s="18" t="n">
        <v>2021</v>
      </c>
      <c r="D5" s="19" t="n">
        <v>320</v>
      </c>
      <c r="E5" s="20" t="n">
        <v>2000</v>
      </c>
      <c r="F5" s="20" t="n">
        <v>3791</v>
      </c>
      <c r="G5" s="20" t="n">
        <f aca="false">MAX(0,F5-E5)</f>
        <v>1791</v>
      </c>
      <c r="H5" s="19" t="n">
        <f aca="false">G5*0.12</f>
        <v>214.92</v>
      </c>
      <c r="I5" s="19" t="n">
        <f aca="false">D5+H5</f>
        <v>534.92</v>
      </c>
    </row>
    <row r="6" customFormat="false" ht="15" hidden="false" customHeight="false" outlineLevel="0" collapsed="false">
      <c r="A6" s="8" t="s">
        <v>31</v>
      </c>
      <c r="B6" s="7" t="s">
        <v>32</v>
      </c>
      <c r="C6" s="9" t="n">
        <v>2020</v>
      </c>
      <c r="D6" s="10" t="n">
        <v>480</v>
      </c>
      <c r="E6" s="21" t="n">
        <v>2000</v>
      </c>
      <c r="F6" s="21" t="n">
        <v>1718</v>
      </c>
      <c r="G6" s="21" t="n">
        <f aca="false">MAX(0,F6-E6)</f>
        <v>0</v>
      </c>
      <c r="H6" s="10" t="n">
        <f aca="false">G6*0.12</f>
        <v>0</v>
      </c>
      <c r="I6" s="10" t="n">
        <f aca="false">D6+H6</f>
        <v>480</v>
      </c>
    </row>
    <row r="7" customFormat="false" ht="15" hidden="false" customHeight="false" outlineLevel="0" collapsed="false">
      <c r="A7" s="4" t="s">
        <v>33</v>
      </c>
      <c r="B7" s="3" t="s">
        <v>34</v>
      </c>
      <c r="C7" s="5" t="n">
        <v>2022</v>
      </c>
      <c r="D7" s="6" t="n">
        <v>440</v>
      </c>
      <c r="E7" s="15" t="n">
        <v>2000</v>
      </c>
      <c r="F7" s="15" t="n">
        <v>1794</v>
      </c>
      <c r="G7" s="15" t="n">
        <f aca="false">MAX(0,F7-E7)</f>
        <v>0</v>
      </c>
      <c r="H7" s="6" t="n">
        <f aca="false">G7*0.12</f>
        <v>0</v>
      </c>
      <c r="I7" s="6" t="n">
        <f aca="false">D7+H7</f>
        <v>440</v>
      </c>
    </row>
    <row r="8" customFormat="false" ht="15" hidden="false" customHeight="false" outlineLevel="0" collapsed="false">
      <c r="A8" s="8" t="s">
        <v>35</v>
      </c>
      <c r="B8" s="7" t="s">
        <v>36</v>
      </c>
      <c r="C8" s="9" t="n">
        <v>2019</v>
      </c>
      <c r="D8" s="10" t="n">
        <v>370</v>
      </c>
      <c r="E8" s="21" t="n">
        <v>2000</v>
      </c>
      <c r="F8" s="21" t="n">
        <v>1637</v>
      </c>
      <c r="G8" s="21" t="n">
        <f aca="false">MAX(0,F8-E8)</f>
        <v>0</v>
      </c>
      <c r="H8" s="10" t="n">
        <f aca="false">G8*0.12</f>
        <v>0</v>
      </c>
      <c r="I8" s="10" t="n">
        <f aca="false">D8+H8</f>
        <v>370</v>
      </c>
    </row>
    <row r="9" customFormat="false" ht="15" hidden="false" customHeight="false" outlineLevel="0" collapsed="false">
      <c r="A9" s="16" t="s">
        <v>37</v>
      </c>
      <c r="B9" s="17" t="s">
        <v>38</v>
      </c>
      <c r="C9" s="18" t="n">
        <v>2021</v>
      </c>
      <c r="D9" s="19" t="n">
        <v>230</v>
      </c>
      <c r="E9" s="20" t="n">
        <v>2000</v>
      </c>
      <c r="F9" s="20" t="n">
        <v>2607</v>
      </c>
      <c r="G9" s="20" t="n">
        <f aca="false">MAX(0,F9-E9)</f>
        <v>607</v>
      </c>
      <c r="H9" s="19" t="n">
        <f aca="false">G9*0.12</f>
        <v>72.84</v>
      </c>
      <c r="I9" s="19" t="n">
        <f aca="false">D9+H9</f>
        <v>302.84</v>
      </c>
    </row>
    <row r="10" customFormat="false" ht="15" hidden="false" customHeight="false" outlineLevel="0" collapsed="false">
      <c r="A10" s="16" t="s">
        <v>39</v>
      </c>
      <c r="B10" s="17" t="s">
        <v>40</v>
      </c>
      <c r="C10" s="18" t="n">
        <v>2020</v>
      </c>
      <c r="D10" s="19" t="n">
        <v>620</v>
      </c>
      <c r="E10" s="20" t="n">
        <v>2000</v>
      </c>
      <c r="F10" s="20" t="n">
        <v>3085</v>
      </c>
      <c r="G10" s="20" t="n">
        <f aca="false">MAX(0,F10-E10)</f>
        <v>1085</v>
      </c>
      <c r="H10" s="19" t="n">
        <f aca="false">G10*0.12</f>
        <v>130.2</v>
      </c>
      <c r="I10" s="19" t="n">
        <f aca="false">D10+H10</f>
        <v>750.2</v>
      </c>
    </row>
    <row r="11" customFormat="false" ht="15" hidden="false" customHeight="false" outlineLevel="0" collapsed="false">
      <c r="A11" s="4" t="s">
        <v>41</v>
      </c>
      <c r="B11" s="3" t="s">
        <v>42</v>
      </c>
      <c r="C11" s="5" t="n">
        <v>2022</v>
      </c>
      <c r="D11" s="6" t="n">
        <v>280</v>
      </c>
      <c r="E11" s="15" t="n">
        <v>2000</v>
      </c>
      <c r="F11" s="15" t="n">
        <v>1212</v>
      </c>
      <c r="G11" s="15" t="n">
        <f aca="false">MAX(0,F11-E11)</f>
        <v>0</v>
      </c>
      <c r="H11" s="6" t="n">
        <f aca="false">G11*0.12</f>
        <v>0</v>
      </c>
      <c r="I11" s="6" t="n">
        <f aca="false">D11+H11</f>
        <v>280</v>
      </c>
    </row>
    <row r="12" customFormat="false" ht="15" hidden="false" customHeight="false" outlineLevel="0" collapsed="false">
      <c r="A12" s="8" t="s">
        <v>43</v>
      </c>
      <c r="B12" s="7" t="s">
        <v>44</v>
      </c>
      <c r="C12" s="9" t="n">
        <v>2021</v>
      </c>
      <c r="D12" s="10" t="n">
        <v>275</v>
      </c>
      <c r="E12" s="21" t="n">
        <v>2000</v>
      </c>
      <c r="F12" s="21" t="n">
        <v>1522</v>
      </c>
      <c r="G12" s="21" t="n">
        <f aca="false">MAX(0,F12-E12)</f>
        <v>0</v>
      </c>
      <c r="H12" s="10" t="n">
        <f aca="false">G12*0.12</f>
        <v>0</v>
      </c>
      <c r="I12" s="10" t="n">
        <f aca="false">D12+H12</f>
        <v>275</v>
      </c>
    </row>
    <row r="13" customFormat="false" ht="15" hidden="false" customHeight="false" outlineLevel="0" collapsed="false">
      <c r="A13" s="4" t="s">
        <v>45</v>
      </c>
      <c r="B13" s="3" t="s">
        <v>46</v>
      </c>
      <c r="C13" s="5" t="n">
        <v>2020</v>
      </c>
      <c r="D13" s="6" t="n">
        <v>390</v>
      </c>
      <c r="E13" s="15" t="n">
        <v>2000</v>
      </c>
      <c r="F13" s="15" t="n">
        <v>1624</v>
      </c>
      <c r="G13" s="15" t="n">
        <f aca="false">MAX(0,F13-E13)</f>
        <v>0</v>
      </c>
      <c r="H13" s="6" t="n">
        <f aca="false">G13*0.12</f>
        <v>0</v>
      </c>
      <c r="I13" s="6" t="n">
        <f aca="false">D13+H13</f>
        <v>390</v>
      </c>
    </row>
    <row r="14" customFormat="false" ht="15" hidden="false" customHeight="false" outlineLevel="0" collapsed="false">
      <c r="A14" s="8" t="s">
        <v>47</v>
      </c>
      <c r="B14" s="7" t="s">
        <v>48</v>
      </c>
      <c r="C14" s="9" t="n">
        <v>2019</v>
      </c>
      <c r="D14" s="10" t="n">
        <v>430</v>
      </c>
      <c r="E14" s="21" t="n">
        <v>2000</v>
      </c>
      <c r="F14" s="21" t="n">
        <v>1945</v>
      </c>
      <c r="G14" s="21" t="n">
        <f aca="false">MAX(0,F14-E14)</f>
        <v>0</v>
      </c>
      <c r="H14" s="10" t="n">
        <f aca="false">G14*0.12</f>
        <v>0</v>
      </c>
      <c r="I14" s="10" t="n">
        <f aca="false">D14+H14</f>
        <v>430</v>
      </c>
    </row>
    <row r="15" customFormat="false" ht="15" hidden="false" customHeight="false" outlineLevel="0" collapsed="false">
      <c r="A15" s="16" t="s">
        <v>49</v>
      </c>
      <c r="B15" s="17" t="s">
        <v>50</v>
      </c>
      <c r="C15" s="18" t="n">
        <v>2022</v>
      </c>
      <c r="D15" s="19" t="n">
        <v>340</v>
      </c>
      <c r="E15" s="20" t="n">
        <v>2000</v>
      </c>
      <c r="F15" s="20" t="n">
        <v>3687</v>
      </c>
      <c r="G15" s="20" t="n">
        <f aca="false">MAX(0,F15-E15)</f>
        <v>1687</v>
      </c>
      <c r="H15" s="19" t="n">
        <f aca="false">G15*0.12</f>
        <v>202.44</v>
      </c>
      <c r="I15" s="19" t="n">
        <f aca="false">D15+H15</f>
        <v>542.44</v>
      </c>
    </row>
    <row r="16" customFormat="false" ht="15" hidden="false" customHeight="false" outlineLevel="0" collapsed="false">
      <c r="A16" s="8" t="s">
        <v>51</v>
      </c>
      <c r="B16" s="7" t="s">
        <v>52</v>
      </c>
      <c r="C16" s="9" t="n">
        <v>2021</v>
      </c>
      <c r="D16" s="10" t="n">
        <v>410</v>
      </c>
      <c r="E16" s="21" t="n">
        <v>2000</v>
      </c>
      <c r="F16" s="21" t="n">
        <v>1745</v>
      </c>
      <c r="G16" s="21" t="n">
        <f aca="false">MAX(0,F16-E16)</f>
        <v>0</v>
      </c>
      <c r="H16" s="10" t="n">
        <f aca="false">G16*0.12</f>
        <v>0</v>
      </c>
      <c r="I16" s="10" t="n">
        <f aca="false">D16+H16</f>
        <v>410</v>
      </c>
    </row>
    <row r="17" customFormat="false" ht="15" hidden="false" customHeight="false" outlineLevel="0" collapsed="false">
      <c r="A17" s="4" t="s">
        <v>53</v>
      </c>
      <c r="B17" s="3" t="s">
        <v>54</v>
      </c>
      <c r="C17" s="5" t="n">
        <v>2020</v>
      </c>
      <c r="D17" s="6" t="n">
        <v>460</v>
      </c>
      <c r="E17" s="15" t="n">
        <v>2000</v>
      </c>
      <c r="F17" s="15" t="n">
        <v>1817</v>
      </c>
      <c r="G17" s="15" t="n">
        <f aca="false">MAX(0,F17-E17)</f>
        <v>0</v>
      </c>
      <c r="H17" s="6" t="n">
        <f aca="false">G17*0.12</f>
        <v>0</v>
      </c>
      <c r="I17" s="6" t="n">
        <f aca="false">D17+H17</f>
        <v>460</v>
      </c>
    </row>
    <row r="18" customFormat="false" ht="15" hidden="false" customHeight="false" outlineLevel="0" collapsed="false">
      <c r="A18" s="16" t="s">
        <v>55</v>
      </c>
      <c r="B18" s="17" t="s">
        <v>56</v>
      </c>
      <c r="C18" s="18" t="n">
        <v>2021</v>
      </c>
      <c r="D18" s="19" t="n">
        <v>550</v>
      </c>
      <c r="E18" s="20" t="n">
        <v>2000</v>
      </c>
      <c r="F18" s="20" t="n">
        <v>2462</v>
      </c>
      <c r="G18" s="20" t="n">
        <f aca="false">MAX(0,F18-E18)</f>
        <v>462</v>
      </c>
      <c r="H18" s="19" t="n">
        <f aca="false">G18*0.12</f>
        <v>55.44</v>
      </c>
      <c r="I18" s="19" t="n">
        <f aca="false">D18+H18</f>
        <v>605.44</v>
      </c>
    </row>
    <row r="19" customFormat="false" ht="15" hidden="false" customHeight="false" outlineLevel="0" collapsed="false">
      <c r="A19" s="4" t="s">
        <v>57</v>
      </c>
      <c r="B19" s="3" t="s">
        <v>58</v>
      </c>
      <c r="C19" s="5" t="n">
        <v>2019</v>
      </c>
      <c r="D19" s="6" t="n">
        <v>490</v>
      </c>
      <c r="E19" s="15" t="n">
        <v>2000</v>
      </c>
      <c r="F19" s="15" t="n">
        <v>1242</v>
      </c>
      <c r="G19" s="15" t="n">
        <f aca="false">MAX(0,F19-E19)</f>
        <v>0</v>
      </c>
      <c r="H19" s="6" t="n">
        <f aca="false">G19*0.12</f>
        <v>0</v>
      </c>
      <c r="I19" s="6" t="n">
        <f aca="false">D19+H19</f>
        <v>490</v>
      </c>
    </row>
    <row r="20" customFormat="false" ht="15" hidden="false" customHeight="false" outlineLevel="0" collapsed="false">
      <c r="A20" s="8" t="s">
        <v>59</v>
      </c>
      <c r="B20" s="7" t="s">
        <v>60</v>
      </c>
      <c r="C20" s="9" t="n">
        <v>2020</v>
      </c>
      <c r="D20" s="10" t="n">
        <v>400</v>
      </c>
      <c r="E20" s="21" t="n">
        <v>2000</v>
      </c>
      <c r="F20" s="21" t="n">
        <v>1751</v>
      </c>
      <c r="G20" s="21" t="n">
        <f aca="false">MAX(0,F20-E20)</f>
        <v>0</v>
      </c>
      <c r="H20" s="10" t="n">
        <f aca="false">G20*0.12</f>
        <v>0</v>
      </c>
      <c r="I20" s="10" t="n">
        <f aca="false">D20+H20</f>
        <v>400</v>
      </c>
    </row>
    <row r="21" customFormat="false" ht="15" hidden="false" customHeight="false" outlineLevel="0" collapsed="false">
      <c r="A21" s="4" t="s">
        <v>61</v>
      </c>
      <c r="B21" s="3" t="s">
        <v>62</v>
      </c>
      <c r="C21" s="5" t="n">
        <v>2022</v>
      </c>
      <c r="D21" s="6" t="n">
        <v>420</v>
      </c>
      <c r="E21" s="15" t="n">
        <v>2000</v>
      </c>
      <c r="F21" s="15" t="n">
        <v>1682</v>
      </c>
      <c r="G21" s="15" t="n">
        <f aca="false">MAX(0,F21-E21)</f>
        <v>0</v>
      </c>
      <c r="H21" s="6" t="n">
        <f aca="false">G21*0.12</f>
        <v>0</v>
      </c>
      <c r="I21" s="6" t="n">
        <f aca="false">D21+H21</f>
        <v>420</v>
      </c>
    </row>
    <row r="22" customFormat="false" ht="15" hidden="false" customHeight="false" outlineLevel="0" collapsed="false">
      <c r="A22" s="8" t="s">
        <v>63</v>
      </c>
      <c r="B22" s="7" t="s">
        <v>64</v>
      </c>
      <c r="C22" s="9" t="n">
        <v>2021</v>
      </c>
      <c r="D22" s="10" t="n">
        <v>360</v>
      </c>
      <c r="E22" s="21" t="n">
        <v>2000</v>
      </c>
      <c r="F22" s="21" t="n">
        <v>1676</v>
      </c>
      <c r="G22" s="21" t="n">
        <f aca="false">MAX(0,F22-E22)</f>
        <v>0</v>
      </c>
      <c r="H22" s="10" t="n">
        <f aca="false">G22*0.12</f>
        <v>0</v>
      </c>
      <c r="I22" s="10" t="n">
        <f aca="false">D22+H22</f>
        <v>360</v>
      </c>
    </row>
    <row r="23" customFormat="false" ht="15" hidden="false" customHeight="false" outlineLevel="0" collapsed="false">
      <c r="A23" s="4" t="s">
        <v>65</v>
      </c>
      <c r="B23" s="3" t="s">
        <v>66</v>
      </c>
      <c r="C23" s="5" t="n">
        <v>2020</v>
      </c>
      <c r="D23" s="6" t="n">
        <v>530</v>
      </c>
      <c r="E23" s="15" t="n">
        <v>2000</v>
      </c>
      <c r="F23" s="15" t="n">
        <v>1767</v>
      </c>
      <c r="G23" s="15" t="n">
        <f aca="false">MAX(0,F23-E23)</f>
        <v>0</v>
      </c>
      <c r="H23" s="6" t="n">
        <f aca="false">G23*0.12</f>
        <v>0</v>
      </c>
      <c r="I23" s="6" t="n">
        <f aca="false">D23+H23</f>
        <v>530</v>
      </c>
    </row>
    <row r="24" customFormat="false" ht="15" hidden="false" customHeight="false" outlineLevel="0" collapsed="false">
      <c r="A24" s="8" t="s">
        <v>67</v>
      </c>
      <c r="B24" s="7" t="s">
        <v>68</v>
      </c>
      <c r="C24" s="9" t="n">
        <v>2019</v>
      </c>
      <c r="D24" s="10" t="n">
        <v>345</v>
      </c>
      <c r="E24" s="21" t="n">
        <v>2000</v>
      </c>
      <c r="F24" s="21" t="n">
        <v>1752</v>
      </c>
      <c r="G24" s="21" t="n">
        <f aca="false">MAX(0,F24-E24)</f>
        <v>0</v>
      </c>
      <c r="H24" s="10" t="n">
        <f aca="false">G24*0.12</f>
        <v>0</v>
      </c>
      <c r="I24" s="10" t="n">
        <f aca="false">D24+H24</f>
        <v>345</v>
      </c>
    </row>
    <row r="25" customFormat="false" ht="15" hidden="false" customHeight="false" outlineLevel="0" collapsed="false">
      <c r="A25" s="4" t="s">
        <v>69</v>
      </c>
      <c r="B25" s="3" t="s">
        <v>70</v>
      </c>
      <c r="C25" s="5" t="n">
        <v>2021</v>
      </c>
      <c r="D25" s="6" t="n">
        <v>185</v>
      </c>
      <c r="E25" s="15" t="n">
        <v>2000</v>
      </c>
      <c r="F25" s="15" t="n">
        <v>1299</v>
      </c>
      <c r="G25" s="15" t="n">
        <f aca="false">MAX(0,F25-E25)</f>
        <v>0</v>
      </c>
      <c r="H25" s="6" t="n">
        <f aca="false">G25*0.12</f>
        <v>0</v>
      </c>
      <c r="I25" s="6" t="n">
        <f aca="false">D25+H25</f>
        <v>185</v>
      </c>
    </row>
    <row r="26" customFormat="false" ht="15" hidden="false" customHeight="false" outlineLevel="0" collapsed="false">
      <c r="A26" s="8" t="s">
        <v>71</v>
      </c>
      <c r="B26" s="7" t="s">
        <v>72</v>
      </c>
      <c r="C26" s="9" t="n">
        <v>2020</v>
      </c>
      <c r="D26" s="10" t="n">
        <v>290</v>
      </c>
      <c r="E26" s="21" t="n">
        <v>2000</v>
      </c>
      <c r="F26" s="21" t="n">
        <v>1697</v>
      </c>
      <c r="G26" s="21" t="n">
        <f aca="false">MAX(0,F26-E26)</f>
        <v>0</v>
      </c>
      <c r="H26" s="10" t="n">
        <f aca="false">G26*0.12</f>
        <v>0</v>
      </c>
      <c r="I26" s="10" t="n">
        <f aca="false">D26+H26</f>
        <v>290</v>
      </c>
    </row>
    <row r="27" customFormat="false" ht="15" hidden="false" customHeight="false" outlineLevel="0" collapsed="false">
      <c r="A27" s="4" t="s">
        <v>73</v>
      </c>
      <c r="B27" s="3" t="s">
        <v>74</v>
      </c>
      <c r="C27" s="5" t="n">
        <v>2022</v>
      </c>
      <c r="D27" s="6" t="n">
        <v>305</v>
      </c>
      <c r="E27" s="15" t="n">
        <v>2000</v>
      </c>
      <c r="F27" s="15" t="n">
        <v>1154</v>
      </c>
      <c r="G27" s="15" t="n">
        <f aca="false">MAX(0,F27-E27)</f>
        <v>0</v>
      </c>
      <c r="H27" s="6" t="n">
        <f aca="false">G27*0.12</f>
        <v>0</v>
      </c>
      <c r="I27" s="6" t="n">
        <f aca="false">D27+H27</f>
        <v>305</v>
      </c>
    </row>
    <row r="28" customFormat="false" ht="15" hidden="false" customHeight="false" outlineLevel="0" collapsed="false">
      <c r="A28" s="8" t="s">
        <v>75</v>
      </c>
      <c r="B28" s="7" t="s">
        <v>76</v>
      </c>
      <c r="C28" s="9" t="n">
        <v>2021</v>
      </c>
      <c r="D28" s="10" t="n">
        <v>250</v>
      </c>
      <c r="E28" s="21" t="n">
        <v>2000</v>
      </c>
      <c r="F28" s="21" t="n">
        <v>1383</v>
      </c>
      <c r="G28" s="21" t="n">
        <f aca="false">MAX(0,F28-E28)</f>
        <v>0</v>
      </c>
      <c r="H28" s="10" t="n">
        <f aca="false">G28*0.12</f>
        <v>0</v>
      </c>
      <c r="I28" s="10" t="n">
        <f aca="false">D28+H28</f>
        <v>250</v>
      </c>
    </row>
    <row r="29" customFormat="false" ht="15" hidden="false" customHeight="false" outlineLevel="0" collapsed="false">
      <c r="A29" s="16" t="s">
        <v>77</v>
      </c>
      <c r="B29" s="17" t="s">
        <v>78</v>
      </c>
      <c r="C29" s="18" t="n">
        <v>2022</v>
      </c>
      <c r="D29" s="19" t="n">
        <v>270</v>
      </c>
      <c r="E29" s="20" t="n">
        <v>2000</v>
      </c>
      <c r="F29" s="20" t="n">
        <v>2586</v>
      </c>
      <c r="G29" s="20" t="n">
        <f aca="false">MAX(0,F29-E29)</f>
        <v>586</v>
      </c>
      <c r="H29" s="19" t="n">
        <f aca="false">G29*0.12</f>
        <v>70.32</v>
      </c>
      <c r="I29" s="19" t="n">
        <f aca="false">D29+H29</f>
        <v>340.32</v>
      </c>
    </row>
    <row r="30" customFormat="false" ht="15" hidden="false" customHeight="false" outlineLevel="0" collapsed="false">
      <c r="A30" s="8" t="s">
        <v>79</v>
      </c>
      <c r="B30" s="7" t="s">
        <v>80</v>
      </c>
      <c r="C30" s="9" t="n">
        <v>2021</v>
      </c>
      <c r="D30" s="10" t="n">
        <v>240</v>
      </c>
      <c r="E30" s="21" t="n">
        <v>2000</v>
      </c>
      <c r="F30" s="21" t="n">
        <v>1802</v>
      </c>
      <c r="G30" s="21" t="n">
        <f aca="false">MAX(0,F30-E30)</f>
        <v>0</v>
      </c>
      <c r="H30" s="10" t="n">
        <f aca="false">G30*0.12</f>
        <v>0</v>
      </c>
      <c r="I30" s="10" t="n">
        <f aca="false">D30+H30</f>
        <v>240</v>
      </c>
    </row>
    <row r="31" customFormat="false" ht="15" hidden="false" customHeight="false" outlineLevel="0" collapsed="false">
      <c r="A31" s="4" t="s">
        <v>81</v>
      </c>
      <c r="B31" s="3" t="s">
        <v>82</v>
      </c>
      <c r="C31" s="5" t="n">
        <v>2020</v>
      </c>
      <c r="D31" s="6" t="n">
        <v>310</v>
      </c>
      <c r="E31" s="15" t="n">
        <v>2000</v>
      </c>
      <c r="F31" s="15" t="n">
        <v>1498</v>
      </c>
      <c r="G31" s="15" t="n">
        <f aca="false">MAX(0,F31-E31)</f>
        <v>0</v>
      </c>
      <c r="H31" s="6" t="n">
        <f aca="false">G31*0.12</f>
        <v>0</v>
      </c>
      <c r="I31" s="6" t="n">
        <f aca="false">D31+H31</f>
        <v>310</v>
      </c>
    </row>
    <row r="32" customFormat="false" ht="15" hidden="false" customHeight="false" outlineLevel="0" collapsed="false">
      <c r="A32" s="8" t="s">
        <v>83</v>
      </c>
      <c r="B32" s="7" t="s">
        <v>84</v>
      </c>
      <c r="C32" s="9" t="n">
        <v>2019</v>
      </c>
      <c r="D32" s="10" t="n">
        <v>265</v>
      </c>
      <c r="E32" s="21" t="n">
        <v>2000</v>
      </c>
      <c r="F32" s="21" t="n">
        <v>1322</v>
      </c>
      <c r="G32" s="21" t="n">
        <f aca="false">MAX(0,F32-E32)</f>
        <v>0</v>
      </c>
      <c r="H32" s="10" t="n">
        <f aca="false">G32*0.12</f>
        <v>0</v>
      </c>
      <c r="I32" s="10" t="n">
        <f aca="false">D32+H32</f>
        <v>265</v>
      </c>
    </row>
    <row r="33" customFormat="false" ht="15" hidden="false" customHeight="false" outlineLevel="0" collapsed="false">
      <c r="A33" s="4" t="s">
        <v>85</v>
      </c>
      <c r="B33" s="3" t="s">
        <v>86</v>
      </c>
      <c r="C33" s="5" t="n">
        <v>2021</v>
      </c>
      <c r="D33" s="6" t="n">
        <v>255</v>
      </c>
      <c r="E33" s="15" t="n">
        <v>2000</v>
      </c>
      <c r="F33" s="15" t="n">
        <v>1642</v>
      </c>
      <c r="G33" s="15" t="n">
        <f aca="false">MAX(0,F33-E33)</f>
        <v>0</v>
      </c>
      <c r="H33" s="6" t="n">
        <f aca="false">G33*0.12</f>
        <v>0</v>
      </c>
      <c r="I33" s="6" t="n">
        <f aca="false">D33+H33</f>
        <v>255</v>
      </c>
    </row>
    <row r="34" customFormat="false" ht="15" hidden="false" customHeight="false" outlineLevel="0" collapsed="false">
      <c r="A34" s="16" t="s">
        <v>87</v>
      </c>
      <c r="B34" s="17" t="s">
        <v>88</v>
      </c>
      <c r="C34" s="18" t="n">
        <v>2022</v>
      </c>
      <c r="D34" s="19" t="n">
        <v>195</v>
      </c>
      <c r="E34" s="20" t="n">
        <v>2000</v>
      </c>
      <c r="F34" s="20" t="n">
        <v>3216</v>
      </c>
      <c r="G34" s="20" t="n">
        <f aca="false">MAX(0,F34-E34)</f>
        <v>1216</v>
      </c>
      <c r="H34" s="19" t="n">
        <f aca="false">G34*0.12</f>
        <v>145.92</v>
      </c>
      <c r="I34" s="19" t="n">
        <f aca="false">D34+H34</f>
        <v>340.92</v>
      </c>
    </row>
    <row r="35" customFormat="false" ht="15" hidden="false" customHeight="false" outlineLevel="0" collapsed="false">
      <c r="A35" s="4" t="s">
        <v>89</v>
      </c>
      <c r="B35" s="3" t="s">
        <v>90</v>
      </c>
      <c r="C35" s="5" t="n">
        <v>2020</v>
      </c>
      <c r="D35" s="6" t="n">
        <v>420</v>
      </c>
      <c r="E35" s="15" t="n">
        <v>2000</v>
      </c>
      <c r="F35" s="15" t="n">
        <v>1586</v>
      </c>
      <c r="G35" s="15" t="n">
        <f aca="false">MAX(0,F35-E35)</f>
        <v>0</v>
      </c>
      <c r="H35" s="6" t="n">
        <f aca="false">G35*0.12</f>
        <v>0</v>
      </c>
      <c r="I35" s="6" t="n">
        <f aca="false">D35+H35</f>
        <v>420</v>
      </c>
    </row>
    <row r="36" customFormat="false" ht="15" hidden="false" customHeight="false" outlineLevel="0" collapsed="false">
      <c r="A36" s="8" t="s">
        <v>91</v>
      </c>
      <c r="B36" s="7" t="s">
        <v>92</v>
      </c>
      <c r="C36" s="9" t="n">
        <v>2021</v>
      </c>
      <c r="D36" s="10" t="n">
        <v>580</v>
      </c>
      <c r="E36" s="21" t="n">
        <v>2000</v>
      </c>
      <c r="F36" s="21" t="n">
        <v>1633</v>
      </c>
      <c r="G36" s="21" t="n">
        <f aca="false">MAX(0,F36-E36)</f>
        <v>0</v>
      </c>
      <c r="H36" s="10" t="n">
        <f aca="false">G36*0.12</f>
        <v>0</v>
      </c>
      <c r="I36" s="10" t="n">
        <f aca="false">D36+H36</f>
        <v>580</v>
      </c>
    </row>
    <row r="37" customFormat="false" ht="15" hidden="false" customHeight="false" outlineLevel="0" collapsed="false">
      <c r="A37" s="4" t="s">
        <v>93</v>
      </c>
      <c r="B37" s="3" t="s">
        <v>94</v>
      </c>
      <c r="C37" s="5" t="n">
        <v>2020</v>
      </c>
      <c r="D37" s="6" t="n">
        <v>610</v>
      </c>
      <c r="E37" s="15" t="n">
        <v>2000</v>
      </c>
      <c r="F37" s="15" t="n">
        <v>1944</v>
      </c>
      <c r="G37" s="15" t="n">
        <f aca="false">MAX(0,F37-E37)</f>
        <v>0</v>
      </c>
      <c r="H37" s="6" t="n">
        <f aca="false">G37*0.12</f>
        <v>0</v>
      </c>
      <c r="I37" s="6" t="n">
        <f aca="false">D37+H37</f>
        <v>610</v>
      </c>
    </row>
    <row r="38" customFormat="false" ht="15" hidden="false" customHeight="false" outlineLevel="0" collapsed="false">
      <c r="A38" s="8" t="s">
        <v>95</v>
      </c>
      <c r="B38" s="7" t="s">
        <v>96</v>
      </c>
      <c r="C38" s="9" t="n">
        <v>2022</v>
      </c>
      <c r="D38" s="10" t="n">
        <v>650</v>
      </c>
      <c r="E38" s="21" t="n">
        <v>2000</v>
      </c>
      <c r="F38" s="21" t="n">
        <v>1468</v>
      </c>
      <c r="G38" s="21" t="n">
        <f aca="false">MAX(0,F38-E38)</f>
        <v>0</v>
      </c>
      <c r="H38" s="10" t="n">
        <f aca="false">G38*0.12</f>
        <v>0</v>
      </c>
      <c r="I38" s="10" t="n">
        <f aca="false">D38+H38</f>
        <v>650</v>
      </c>
    </row>
    <row r="39" customFormat="false" ht="15" hidden="false" customHeight="false" outlineLevel="0" collapsed="false">
      <c r="A39" s="4" t="s">
        <v>97</v>
      </c>
      <c r="B39" s="3" t="s">
        <v>98</v>
      </c>
      <c r="C39" s="5" t="n">
        <v>2021</v>
      </c>
      <c r="D39" s="6" t="n">
        <v>540</v>
      </c>
      <c r="E39" s="15" t="n">
        <v>2000</v>
      </c>
      <c r="F39" s="15" t="n">
        <v>1786</v>
      </c>
      <c r="G39" s="15" t="n">
        <f aca="false">MAX(0,F39-E39)</f>
        <v>0</v>
      </c>
      <c r="H39" s="6" t="n">
        <f aca="false">G39*0.12</f>
        <v>0</v>
      </c>
      <c r="I39" s="6" t="n">
        <f aca="false">D39+H39</f>
        <v>540</v>
      </c>
    </row>
    <row r="40" customFormat="false" ht="15" hidden="false" customHeight="false" outlineLevel="0" collapsed="false">
      <c r="A40" s="8" t="s">
        <v>99</v>
      </c>
      <c r="B40" s="7" t="s">
        <v>100</v>
      </c>
      <c r="C40" s="9" t="n">
        <v>2022</v>
      </c>
      <c r="D40" s="10" t="n">
        <v>380</v>
      </c>
      <c r="E40" s="21" t="n">
        <v>2000</v>
      </c>
      <c r="F40" s="21" t="n">
        <v>1350</v>
      </c>
      <c r="G40" s="21" t="n">
        <f aca="false">MAX(0,F40-E40)</f>
        <v>0</v>
      </c>
      <c r="H40" s="10" t="n">
        <f aca="false">G40*0.12</f>
        <v>0</v>
      </c>
      <c r="I40" s="10" t="n">
        <f aca="false">D40+H40</f>
        <v>380</v>
      </c>
    </row>
    <row r="41" customFormat="false" ht="15" hidden="false" customHeight="false" outlineLevel="0" collapsed="false">
      <c r="A41" s="4" t="s">
        <v>101</v>
      </c>
      <c r="B41" s="3" t="s">
        <v>102</v>
      </c>
      <c r="C41" s="5" t="n">
        <v>2019</v>
      </c>
      <c r="D41" s="6" t="n">
        <v>370</v>
      </c>
      <c r="E41" s="15" t="n">
        <v>2000</v>
      </c>
      <c r="F41" s="15" t="n">
        <v>1511</v>
      </c>
      <c r="G41" s="15" t="n">
        <f aca="false">MAX(0,F41-E41)</f>
        <v>0</v>
      </c>
      <c r="H41" s="6" t="n">
        <f aca="false">G41*0.12</f>
        <v>0</v>
      </c>
      <c r="I41" s="6" t="n">
        <f aca="false">D41+H41</f>
        <v>370</v>
      </c>
    </row>
    <row r="42" customFormat="false" ht="15" hidden="false" customHeight="false" outlineLevel="0" collapsed="false">
      <c r="A42" s="8" t="s">
        <v>103</v>
      </c>
      <c r="B42" s="7" t="s">
        <v>104</v>
      </c>
      <c r="C42" s="9" t="n">
        <v>2020</v>
      </c>
      <c r="D42" s="10" t="n">
        <v>430</v>
      </c>
      <c r="E42" s="21" t="n">
        <v>2000</v>
      </c>
      <c r="F42" s="21" t="n">
        <v>1779</v>
      </c>
      <c r="G42" s="21" t="n">
        <f aca="false">MAX(0,F42-E42)</f>
        <v>0</v>
      </c>
      <c r="H42" s="10" t="n">
        <f aca="false">G42*0.12</f>
        <v>0</v>
      </c>
      <c r="I42" s="10" t="n">
        <f aca="false">D42+H42</f>
        <v>430</v>
      </c>
    </row>
    <row r="43" customFormat="false" ht="15" hidden="false" customHeight="false" outlineLevel="0" collapsed="false">
      <c r="A43" s="4" t="s">
        <v>105</v>
      </c>
      <c r="B43" s="3" t="s">
        <v>106</v>
      </c>
      <c r="C43" s="5" t="n">
        <v>2021</v>
      </c>
      <c r="D43" s="6" t="n">
        <v>415</v>
      </c>
      <c r="E43" s="15" t="n">
        <v>2000</v>
      </c>
      <c r="F43" s="15" t="n">
        <v>1286</v>
      </c>
      <c r="G43" s="15" t="n">
        <f aca="false">MAX(0,F43-E43)</f>
        <v>0</v>
      </c>
      <c r="H43" s="6" t="n">
        <f aca="false">G43*0.12</f>
        <v>0</v>
      </c>
      <c r="I43" s="6" t="n">
        <f aca="false">D43+H43</f>
        <v>415</v>
      </c>
    </row>
    <row r="44" customFormat="false" ht="15" hidden="false" customHeight="false" outlineLevel="0" collapsed="false">
      <c r="A44" s="8" t="s">
        <v>107</v>
      </c>
      <c r="B44" s="7" t="s">
        <v>108</v>
      </c>
      <c r="C44" s="9" t="n">
        <v>2022</v>
      </c>
      <c r="D44" s="10" t="n">
        <v>435</v>
      </c>
      <c r="E44" s="21" t="n">
        <v>2000</v>
      </c>
      <c r="F44" s="21" t="n">
        <v>1631</v>
      </c>
      <c r="G44" s="21" t="n">
        <f aca="false">MAX(0,F44-E44)</f>
        <v>0</v>
      </c>
      <c r="H44" s="10" t="n">
        <f aca="false">G44*0.12</f>
        <v>0</v>
      </c>
      <c r="I44" s="10" t="n">
        <f aca="false">D44+H44</f>
        <v>435</v>
      </c>
    </row>
    <row r="45" customFormat="false" ht="15" hidden="false" customHeight="false" outlineLevel="0" collapsed="false">
      <c r="A45" s="16" t="s">
        <v>109</v>
      </c>
      <c r="B45" s="17" t="s">
        <v>110</v>
      </c>
      <c r="C45" s="18" t="n">
        <v>2021</v>
      </c>
      <c r="D45" s="19" t="n">
        <v>275</v>
      </c>
      <c r="E45" s="20" t="n">
        <v>2000</v>
      </c>
      <c r="F45" s="20" t="n">
        <v>3097</v>
      </c>
      <c r="G45" s="20" t="n">
        <f aca="false">MAX(0,F45-E45)</f>
        <v>1097</v>
      </c>
      <c r="H45" s="19" t="n">
        <f aca="false">G45*0.12</f>
        <v>131.64</v>
      </c>
      <c r="I45" s="19" t="n">
        <f aca="false">D45+H45</f>
        <v>406.64</v>
      </c>
    </row>
    <row r="46" customFormat="false" ht="15" hidden="false" customHeight="false" outlineLevel="0" collapsed="false">
      <c r="A46" s="8" t="s">
        <v>111</v>
      </c>
      <c r="B46" s="7" t="s">
        <v>112</v>
      </c>
      <c r="C46" s="9" t="n">
        <v>2020</v>
      </c>
      <c r="D46" s="10" t="n">
        <v>260</v>
      </c>
      <c r="E46" s="21" t="n">
        <v>2000</v>
      </c>
      <c r="F46" s="21" t="n">
        <v>1134</v>
      </c>
      <c r="G46" s="21" t="n">
        <f aca="false">MAX(0,F46-E46)</f>
        <v>0</v>
      </c>
      <c r="H46" s="10" t="n">
        <f aca="false">G46*0.12</f>
        <v>0</v>
      </c>
      <c r="I46" s="10" t="n">
        <f aca="false">D46+H46</f>
        <v>260</v>
      </c>
    </row>
    <row r="47" customFormat="false" ht="15" hidden="false" customHeight="false" outlineLevel="0" collapsed="false">
      <c r="A47" s="4" t="s">
        <v>113</v>
      </c>
      <c r="B47" s="3" t="s">
        <v>114</v>
      </c>
      <c r="C47" s="5" t="n">
        <v>2019</v>
      </c>
      <c r="D47" s="6" t="n">
        <v>270</v>
      </c>
      <c r="E47" s="15" t="n">
        <v>2000</v>
      </c>
      <c r="F47" s="15" t="n">
        <v>1408</v>
      </c>
      <c r="G47" s="15" t="n">
        <f aca="false">MAX(0,F47-E47)</f>
        <v>0</v>
      </c>
      <c r="H47" s="6" t="n">
        <f aca="false">G47*0.12</f>
        <v>0</v>
      </c>
      <c r="I47" s="6" t="n">
        <f aca="false">D47+H47</f>
        <v>270</v>
      </c>
    </row>
    <row r="48" customFormat="false" ht="15" hidden="false" customHeight="false" outlineLevel="0" collapsed="false">
      <c r="A48" s="8" t="s">
        <v>115</v>
      </c>
      <c r="B48" s="7" t="s">
        <v>116</v>
      </c>
      <c r="C48" s="9" t="n">
        <v>2021</v>
      </c>
      <c r="D48" s="10" t="n">
        <v>295</v>
      </c>
      <c r="E48" s="21" t="n">
        <v>2000</v>
      </c>
      <c r="F48" s="21" t="n">
        <v>1357</v>
      </c>
      <c r="G48" s="21" t="n">
        <f aca="false">MAX(0,F48-E48)</f>
        <v>0</v>
      </c>
      <c r="H48" s="10" t="n">
        <f aca="false">G48*0.12</f>
        <v>0</v>
      </c>
      <c r="I48" s="10" t="n">
        <f aca="false">D48+H48</f>
        <v>295</v>
      </c>
    </row>
    <row r="49" customFormat="false" ht="15" hidden="false" customHeight="false" outlineLevel="0" collapsed="false">
      <c r="A49" s="4" t="s">
        <v>117</v>
      </c>
      <c r="B49" s="3" t="s">
        <v>118</v>
      </c>
      <c r="C49" s="5" t="n">
        <v>2020</v>
      </c>
      <c r="D49" s="6" t="n">
        <v>390</v>
      </c>
      <c r="E49" s="15" t="n">
        <v>2000</v>
      </c>
      <c r="F49" s="15" t="n">
        <v>1989</v>
      </c>
      <c r="G49" s="15" t="n">
        <f aca="false">MAX(0,F49-E49)</f>
        <v>0</v>
      </c>
      <c r="H49" s="6" t="n">
        <f aca="false">G49*0.12</f>
        <v>0</v>
      </c>
      <c r="I49" s="6" t="n">
        <f aca="false">D49+H49</f>
        <v>390</v>
      </c>
    </row>
    <row r="50" customFormat="false" ht="15" hidden="false" customHeight="false" outlineLevel="0" collapsed="false">
      <c r="A50" s="16" t="s">
        <v>119</v>
      </c>
      <c r="B50" s="17" t="s">
        <v>120</v>
      </c>
      <c r="C50" s="18" t="n">
        <v>2022</v>
      </c>
      <c r="D50" s="19" t="n">
        <v>440</v>
      </c>
      <c r="E50" s="20" t="n">
        <v>2000</v>
      </c>
      <c r="F50" s="20" t="n">
        <v>3087</v>
      </c>
      <c r="G50" s="20" t="n">
        <f aca="false">MAX(0,F50-E50)</f>
        <v>1087</v>
      </c>
      <c r="H50" s="19" t="n">
        <f aca="false">G50*0.12</f>
        <v>130.44</v>
      </c>
      <c r="I50" s="19" t="n">
        <f aca="false">D50+H50</f>
        <v>570.44</v>
      </c>
    </row>
    <row r="51" customFormat="false" ht="15" hidden="false" customHeight="false" outlineLevel="0" collapsed="false">
      <c r="A51" s="4" t="s">
        <v>121</v>
      </c>
      <c r="B51" s="3" t="s">
        <v>122</v>
      </c>
      <c r="C51" s="5" t="n">
        <v>2021</v>
      </c>
      <c r="D51" s="6" t="n">
        <v>480</v>
      </c>
      <c r="E51" s="15" t="n">
        <v>2000</v>
      </c>
      <c r="F51" s="15" t="n">
        <v>1721</v>
      </c>
      <c r="G51" s="15" t="n">
        <f aca="false">MAX(0,F51-E51)</f>
        <v>0</v>
      </c>
      <c r="H51" s="6" t="n">
        <f aca="false">G51*0.12</f>
        <v>0</v>
      </c>
      <c r="I51" s="6" t="n">
        <f aca="false">D51+H51</f>
        <v>480</v>
      </c>
    </row>
    <row r="52" customFormat="false" ht="15" hidden="false" customHeight="false" outlineLevel="0" collapsed="false">
      <c r="A52" s="16" t="s">
        <v>123</v>
      </c>
      <c r="B52" s="17" t="s">
        <v>124</v>
      </c>
      <c r="C52" s="18" t="n">
        <v>2020</v>
      </c>
      <c r="D52" s="19" t="n">
        <v>420</v>
      </c>
      <c r="E52" s="20" t="n">
        <v>2000</v>
      </c>
      <c r="F52" s="20" t="n">
        <v>2330</v>
      </c>
      <c r="G52" s="20" t="n">
        <f aca="false">MAX(0,F52-E52)</f>
        <v>330</v>
      </c>
      <c r="H52" s="19" t="n">
        <f aca="false">G52*0.12</f>
        <v>39.6</v>
      </c>
      <c r="I52" s="19" t="n">
        <f aca="false">D52+H52</f>
        <v>459.6</v>
      </c>
    </row>
    <row r="53" customFormat="false" ht="15" hidden="false" customHeight="false" outlineLevel="0" collapsed="false">
      <c r="A53" s="4" t="s">
        <v>125</v>
      </c>
      <c r="B53" s="3" t="s">
        <v>126</v>
      </c>
      <c r="C53" s="5" t="n">
        <v>2022</v>
      </c>
      <c r="D53" s="6" t="n">
        <v>455</v>
      </c>
      <c r="E53" s="15" t="n">
        <v>2000</v>
      </c>
      <c r="F53" s="15" t="n">
        <v>1594</v>
      </c>
      <c r="G53" s="15" t="n">
        <f aca="false">MAX(0,F53-E53)</f>
        <v>0</v>
      </c>
      <c r="H53" s="6" t="n">
        <f aca="false">G53*0.12</f>
        <v>0</v>
      </c>
      <c r="I53" s="6" t="n">
        <f aca="false">D53+H53</f>
        <v>455</v>
      </c>
    </row>
    <row r="54" customFormat="false" ht="15" hidden="false" customHeight="false" outlineLevel="0" collapsed="false">
      <c r="A54" s="8" t="s">
        <v>127</v>
      </c>
      <c r="B54" s="7" t="s">
        <v>128</v>
      </c>
      <c r="C54" s="9" t="n">
        <v>2021</v>
      </c>
      <c r="D54" s="10" t="n">
        <v>385</v>
      </c>
      <c r="E54" s="21" t="n">
        <v>2000</v>
      </c>
      <c r="F54" s="21" t="n">
        <v>1893</v>
      </c>
      <c r="G54" s="21" t="n">
        <f aca="false">MAX(0,F54-E54)</f>
        <v>0</v>
      </c>
      <c r="H54" s="10" t="n">
        <f aca="false">G54*0.12</f>
        <v>0</v>
      </c>
      <c r="I54" s="10" t="n">
        <f aca="false">D54+H54</f>
        <v>385</v>
      </c>
    </row>
    <row r="55" customFormat="false" ht="15" hidden="false" customHeight="false" outlineLevel="0" collapsed="false">
      <c r="A55" s="11" t="s">
        <v>129</v>
      </c>
      <c r="B55" s="11"/>
      <c r="C55" s="11"/>
      <c r="D55" s="13" t="n">
        <f aca="false">SUM(D5:D54)</f>
        <v>19205</v>
      </c>
      <c r="E55" s="22"/>
      <c r="F55" s="22"/>
      <c r="G55" s="23" t="n">
        <f aca="false">SUM(G5:G54)</f>
        <v>9948</v>
      </c>
      <c r="H55" s="13" t="n">
        <f aca="false">SUM(H5:H54)</f>
        <v>1193.76</v>
      </c>
      <c r="I55" s="13" t="n">
        <f aca="false">SUM(I5:I54)</f>
        <v>20398.76</v>
      </c>
    </row>
    <row r="57" customFormat="false" ht="15" hidden="false" customHeight="false" outlineLevel="0" collapsed="false">
      <c r="A57" s="24" t="s">
        <v>130</v>
      </c>
      <c r="B57" s="24"/>
      <c r="C57" s="24"/>
      <c r="D57" s="24"/>
      <c r="E57" s="24"/>
      <c r="F57" s="24"/>
      <c r="G57" s="24"/>
      <c r="H57" s="24"/>
      <c r="I57" s="24"/>
    </row>
  </sheetData>
  <mergeCells count="4">
    <mergeCell ref="A1:I1"/>
    <mergeCell ref="A2:I2"/>
    <mergeCell ref="A55:C55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134</v>
      </c>
      <c r="B2" s="14"/>
      <c r="C2" s="14"/>
      <c r="D2" s="14"/>
      <c r="E2" s="14"/>
      <c r="F2" s="14"/>
      <c r="G2" s="14"/>
      <c r="H2" s="14"/>
      <c r="I2" s="14"/>
    </row>
    <row r="4" customFormat="false" ht="21.75" hidden="false" customHeight="tru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</row>
    <row r="5" customFormat="false" ht="15" hidden="false" customHeight="false" outlineLevel="0" collapsed="false">
      <c r="A5" s="4" t="s">
        <v>29</v>
      </c>
      <c r="B5" s="3" t="s">
        <v>30</v>
      </c>
      <c r="C5" s="5" t="n">
        <v>2021</v>
      </c>
      <c r="D5" s="6" t="n">
        <v>320</v>
      </c>
      <c r="E5" s="15" t="n">
        <v>2000</v>
      </c>
      <c r="F5" s="15" t="n">
        <v>1463</v>
      </c>
      <c r="G5" s="15" t="n">
        <f aca="false">MAX(0,F5-E5)</f>
        <v>0</v>
      </c>
      <c r="H5" s="6" t="n">
        <f aca="false">G5*0.12</f>
        <v>0</v>
      </c>
      <c r="I5" s="6" t="n">
        <f aca="false">D5+H5</f>
        <v>320</v>
      </c>
    </row>
    <row r="6" customFormat="false" ht="15" hidden="false" customHeight="false" outlineLevel="0" collapsed="false">
      <c r="A6" s="8" t="s">
        <v>31</v>
      </c>
      <c r="B6" s="7" t="s">
        <v>32</v>
      </c>
      <c r="C6" s="9" t="n">
        <v>2020</v>
      </c>
      <c r="D6" s="10" t="n">
        <v>480</v>
      </c>
      <c r="E6" s="21" t="n">
        <v>2000</v>
      </c>
      <c r="F6" s="21" t="n">
        <v>1182</v>
      </c>
      <c r="G6" s="21" t="n">
        <f aca="false">MAX(0,F6-E6)</f>
        <v>0</v>
      </c>
      <c r="H6" s="10" t="n">
        <f aca="false">G6*0.12</f>
        <v>0</v>
      </c>
      <c r="I6" s="10" t="n">
        <f aca="false">D6+H6</f>
        <v>480</v>
      </c>
    </row>
    <row r="7" customFormat="false" ht="15" hidden="false" customHeight="false" outlineLevel="0" collapsed="false">
      <c r="A7" s="4" t="s">
        <v>33</v>
      </c>
      <c r="B7" s="3" t="s">
        <v>34</v>
      </c>
      <c r="C7" s="5" t="n">
        <v>2022</v>
      </c>
      <c r="D7" s="6" t="n">
        <v>440</v>
      </c>
      <c r="E7" s="15" t="n">
        <v>2000</v>
      </c>
      <c r="F7" s="15" t="n">
        <v>1849</v>
      </c>
      <c r="G7" s="15" t="n">
        <f aca="false">MAX(0,F7-E7)</f>
        <v>0</v>
      </c>
      <c r="H7" s="6" t="n">
        <f aca="false">G7*0.12</f>
        <v>0</v>
      </c>
      <c r="I7" s="6" t="n">
        <f aca="false">D7+H7</f>
        <v>440</v>
      </c>
    </row>
    <row r="8" customFormat="false" ht="15" hidden="false" customHeight="false" outlineLevel="0" collapsed="false">
      <c r="A8" s="8" t="s">
        <v>35</v>
      </c>
      <c r="B8" s="7" t="s">
        <v>36</v>
      </c>
      <c r="C8" s="9" t="n">
        <v>2019</v>
      </c>
      <c r="D8" s="10" t="n">
        <v>370</v>
      </c>
      <c r="E8" s="21" t="n">
        <v>2000</v>
      </c>
      <c r="F8" s="21" t="n">
        <v>1919</v>
      </c>
      <c r="G8" s="21" t="n">
        <f aca="false">MAX(0,F8-E8)</f>
        <v>0</v>
      </c>
      <c r="H8" s="10" t="n">
        <f aca="false">G8*0.12</f>
        <v>0</v>
      </c>
      <c r="I8" s="10" t="n">
        <f aca="false">D8+H8</f>
        <v>370</v>
      </c>
    </row>
    <row r="9" customFormat="false" ht="15" hidden="false" customHeight="false" outlineLevel="0" collapsed="false">
      <c r="A9" s="4" t="s">
        <v>37</v>
      </c>
      <c r="B9" s="3" t="s">
        <v>38</v>
      </c>
      <c r="C9" s="5" t="n">
        <v>2021</v>
      </c>
      <c r="D9" s="6" t="n">
        <v>230</v>
      </c>
      <c r="E9" s="15" t="n">
        <v>2000</v>
      </c>
      <c r="F9" s="15" t="n">
        <v>1430</v>
      </c>
      <c r="G9" s="15" t="n">
        <f aca="false">MAX(0,F9-E9)</f>
        <v>0</v>
      </c>
      <c r="H9" s="6" t="n">
        <f aca="false">G9*0.12</f>
        <v>0</v>
      </c>
      <c r="I9" s="6" t="n">
        <f aca="false">D9+H9</f>
        <v>230</v>
      </c>
    </row>
    <row r="10" customFormat="false" ht="15" hidden="false" customHeight="false" outlineLevel="0" collapsed="false">
      <c r="A10" s="8" t="s">
        <v>39</v>
      </c>
      <c r="B10" s="7" t="s">
        <v>40</v>
      </c>
      <c r="C10" s="9" t="n">
        <v>2020</v>
      </c>
      <c r="D10" s="10" t="n">
        <v>620</v>
      </c>
      <c r="E10" s="21" t="n">
        <v>2000</v>
      </c>
      <c r="F10" s="21" t="n">
        <v>1273</v>
      </c>
      <c r="G10" s="21" t="n">
        <f aca="false">MAX(0,F10-E10)</f>
        <v>0</v>
      </c>
      <c r="H10" s="10" t="n">
        <f aca="false">G10*0.12</f>
        <v>0</v>
      </c>
      <c r="I10" s="10" t="n">
        <f aca="false">D10+H10</f>
        <v>620</v>
      </c>
    </row>
    <row r="11" customFormat="false" ht="15" hidden="false" customHeight="false" outlineLevel="0" collapsed="false">
      <c r="A11" s="4" t="s">
        <v>41</v>
      </c>
      <c r="B11" s="3" t="s">
        <v>42</v>
      </c>
      <c r="C11" s="5" t="n">
        <v>2022</v>
      </c>
      <c r="D11" s="6" t="n">
        <v>280</v>
      </c>
      <c r="E11" s="15" t="n">
        <v>2000</v>
      </c>
      <c r="F11" s="15" t="n">
        <v>1890</v>
      </c>
      <c r="G11" s="15" t="n">
        <f aca="false">MAX(0,F11-E11)</f>
        <v>0</v>
      </c>
      <c r="H11" s="6" t="n">
        <f aca="false">G11*0.12</f>
        <v>0</v>
      </c>
      <c r="I11" s="6" t="n">
        <f aca="false">D11+H11</f>
        <v>280</v>
      </c>
    </row>
    <row r="12" customFormat="false" ht="15" hidden="false" customHeight="false" outlineLevel="0" collapsed="false">
      <c r="A12" s="8" t="s">
        <v>43</v>
      </c>
      <c r="B12" s="7" t="s">
        <v>44</v>
      </c>
      <c r="C12" s="9" t="n">
        <v>2021</v>
      </c>
      <c r="D12" s="10" t="n">
        <v>275</v>
      </c>
      <c r="E12" s="21" t="n">
        <v>2000</v>
      </c>
      <c r="F12" s="21" t="n">
        <v>1935</v>
      </c>
      <c r="G12" s="21" t="n">
        <f aca="false">MAX(0,F12-E12)</f>
        <v>0</v>
      </c>
      <c r="H12" s="10" t="n">
        <f aca="false">G12*0.12</f>
        <v>0</v>
      </c>
      <c r="I12" s="10" t="n">
        <f aca="false">D12+H12</f>
        <v>275</v>
      </c>
    </row>
    <row r="13" customFormat="false" ht="15" hidden="false" customHeight="false" outlineLevel="0" collapsed="false">
      <c r="A13" s="4" t="s">
        <v>45</v>
      </c>
      <c r="B13" s="3" t="s">
        <v>46</v>
      </c>
      <c r="C13" s="5" t="n">
        <v>2020</v>
      </c>
      <c r="D13" s="6" t="n">
        <v>390</v>
      </c>
      <c r="E13" s="15" t="n">
        <v>2000</v>
      </c>
      <c r="F13" s="15" t="n">
        <v>1101</v>
      </c>
      <c r="G13" s="15" t="n">
        <f aca="false">MAX(0,F13-E13)</f>
        <v>0</v>
      </c>
      <c r="H13" s="6" t="n">
        <f aca="false">G13*0.12</f>
        <v>0</v>
      </c>
      <c r="I13" s="6" t="n">
        <f aca="false">D13+H13</f>
        <v>390</v>
      </c>
    </row>
    <row r="14" customFormat="false" ht="15" hidden="false" customHeight="false" outlineLevel="0" collapsed="false">
      <c r="A14" s="8" t="s">
        <v>47</v>
      </c>
      <c r="B14" s="7" t="s">
        <v>48</v>
      </c>
      <c r="C14" s="9" t="n">
        <v>2019</v>
      </c>
      <c r="D14" s="10" t="n">
        <v>430</v>
      </c>
      <c r="E14" s="21" t="n">
        <v>2000</v>
      </c>
      <c r="F14" s="21" t="n">
        <v>1111</v>
      </c>
      <c r="G14" s="21" t="n">
        <f aca="false">MAX(0,F14-E14)</f>
        <v>0</v>
      </c>
      <c r="H14" s="10" t="n">
        <f aca="false">G14*0.12</f>
        <v>0</v>
      </c>
      <c r="I14" s="10" t="n">
        <f aca="false">D14+H14</f>
        <v>430</v>
      </c>
    </row>
    <row r="15" customFormat="false" ht="15" hidden="false" customHeight="false" outlineLevel="0" collapsed="false">
      <c r="A15" s="16" t="s">
        <v>49</v>
      </c>
      <c r="B15" s="17" t="s">
        <v>50</v>
      </c>
      <c r="C15" s="18" t="n">
        <v>2022</v>
      </c>
      <c r="D15" s="19" t="n">
        <v>340</v>
      </c>
      <c r="E15" s="20" t="n">
        <v>2000</v>
      </c>
      <c r="F15" s="20" t="n">
        <v>2908</v>
      </c>
      <c r="G15" s="20" t="n">
        <f aca="false">MAX(0,F15-E15)</f>
        <v>908</v>
      </c>
      <c r="H15" s="19" t="n">
        <f aca="false">G15*0.12</f>
        <v>108.96</v>
      </c>
      <c r="I15" s="19" t="n">
        <f aca="false">D15+H15</f>
        <v>448.96</v>
      </c>
    </row>
    <row r="16" customFormat="false" ht="15" hidden="false" customHeight="false" outlineLevel="0" collapsed="false">
      <c r="A16" s="8" t="s">
        <v>51</v>
      </c>
      <c r="B16" s="7" t="s">
        <v>52</v>
      </c>
      <c r="C16" s="9" t="n">
        <v>2021</v>
      </c>
      <c r="D16" s="10" t="n">
        <v>410</v>
      </c>
      <c r="E16" s="21" t="n">
        <v>2000</v>
      </c>
      <c r="F16" s="21" t="n">
        <v>1745</v>
      </c>
      <c r="G16" s="21" t="n">
        <f aca="false">MAX(0,F16-E16)</f>
        <v>0</v>
      </c>
      <c r="H16" s="10" t="n">
        <f aca="false">G16*0.12</f>
        <v>0</v>
      </c>
      <c r="I16" s="10" t="n">
        <f aca="false">D16+H16</f>
        <v>410</v>
      </c>
    </row>
    <row r="17" customFormat="false" ht="15" hidden="false" customHeight="false" outlineLevel="0" collapsed="false">
      <c r="A17" s="4" t="s">
        <v>53</v>
      </c>
      <c r="B17" s="3" t="s">
        <v>54</v>
      </c>
      <c r="C17" s="5" t="n">
        <v>2020</v>
      </c>
      <c r="D17" s="6" t="n">
        <v>460</v>
      </c>
      <c r="E17" s="15" t="n">
        <v>2000</v>
      </c>
      <c r="F17" s="15" t="n">
        <v>1368</v>
      </c>
      <c r="G17" s="15" t="n">
        <f aca="false">MAX(0,F17-E17)</f>
        <v>0</v>
      </c>
      <c r="H17" s="6" t="n">
        <f aca="false">G17*0.12</f>
        <v>0</v>
      </c>
      <c r="I17" s="6" t="n">
        <f aca="false">D17+H17</f>
        <v>460</v>
      </c>
    </row>
    <row r="18" customFormat="false" ht="15" hidden="false" customHeight="false" outlineLevel="0" collapsed="false">
      <c r="A18" s="8" t="s">
        <v>55</v>
      </c>
      <c r="B18" s="7" t="s">
        <v>56</v>
      </c>
      <c r="C18" s="9" t="n">
        <v>2021</v>
      </c>
      <c r="D18" s="10" t="n">
        <v>550</v>
      </c>
      <c r="E18" s="21" t="n">
        <v>2000</v>
      </c>
      <c r="F18" s="21" t="n">
        <v>1742</v>
      </c>
      <c r="G18" s="21" t="n">
        <f aca="false">MAX(0,F18-E18)</f>
        <v>0</v>
      </c>
      <c r="H18" s="10" t="n">
        <f aca="false">G18*0.12</f>
        <v>0</v>
      </c>
      <c r="I18" s="10" t="n">
        <f aca="false">D18+H18</f>
        <v>550</v>
      </c>
    </row>
    <row r="19" customFormat="false" ht="15" hidden="false" customHeight="false" outlineLevel="0" collapsed="false">
      <c r="A19" s="4" t="s">
        <v>57</v>
      </c>
      <c r="B19" s="3" t="s">
        <v>58</v>
      </c>
      <c r="C19" s="5" t="n">
        <v>2019</v>
      </c>
      <c r="D19" s="6" t="n">
        <v>490</v>
      </c>
      <c r="E19" s="15" t="n">
        <v>2000</v>
      </c>
      <c r="F19" s="15" t="n">
        <v>1369</v>
      </c>
      <c r="G19" s="15" t="n">
        <f aca="false">MAX(0,F19-E19)</f>
        <v>0</v>
      </c>
      <c r="H19" s="6" t="n">
        <f aca="false">G19*0.12</f>
        <v>0</v>
      </c>
      <c r="I19" s="6" t="n">
        <f aca="false">D19+H19</f>
        <v>490</v>
      </c>
    </row>
    <row r="20" customFormat="false" ht="15" hidden="false" customHeight="false" outlineLevel="0" collapsed="false">
      <c r="A20" s="8" t="s">
        <v>59</v>
      </c>
      <c r="B20" s="7" t="s">
        <v>60</v>
      </c>
      <c r="C20" s="9" t="n">
        <v>2020</v>
      </c>
      <c r="D20" s="10" t="n">
        <v>400</v>
      </c>
      <c r="E20" s="21" t="n">
        <v>2000</v>
      </c>
      <c r="F20" s="21" t="n">
        <v>1568</v>
      </c>
      <c r="G20" s="21" t="n">
        <f aca="false">MAX(0,F20-E20)</f>
        <v>0</v>
      </c>
      <c r="H20" s="10" t="n">
        <f aca="false">G20*0.12</f>
        <v>0</v>
      </c>
      <c r="I20" s="10" t="n">
        <f aca="false">D20+H20</f>
        <v>400</v>
      </c>
    </row>
    <row r="21" customFormat="false" ht="15" hidden="false" customHeight="false" outlineLevel="0" collapsed="false">
      <c r="A21" s="4" t="s">
        <v>61</v>
      </c>
      <c r="B21" s="3" t="s">
        <v>62</v>
      </c>
      <c r="C21" s="5" t="n">
        <v>2022</v>
      </c>
      <c r="D21" s="6" t="n">
        <v>420</v>
      </c>
      <c r="E21" s="15" t="n">
        <v>2000</v>
      </c>
      <c r="F21" s="15" t="n">
        <v>1266</v>
      </c>
      <c r="G21" s="15" t="n">
        <f aca="false">MAX(0,F21-E21)</f>
        <v>0</v>
      </c>
      <c r="H21" s="6" t="n">
        <f aca="false">G21*0.12</f>
        <v>0</v>
      </c>
      <c r="I21" s="6" t="n">
        <f aca="false">D21+H21</f>
        <v>420</v>
      </c>
    </row>
    <row r="22" customFormat="false" ht="15" hidden="false" customHeight="false" outlineLevel="0" collapsed="false">
      <c r="A22" s="8" t="s">
        <v>63</v>
      </c>
      <c r="B22" s="7" t="s">
        <v>64</v>
      </c>
      <c r="C22" s="9" t="n">
        <v>2021</v>
      </c>
      <c r="D22" s="10" t="n">
        <v>360</v>
      </c>
      <c r="E22" s="21" t="n">
        <v>2000</v>
      </c>
      <c r="F22" s="21" t="n">
        <v>1125</v>
      </c>
      <c r="G22" s="21" t="n">
        <f aca="false">MAX(0,F22-E22)</f>
        <v>0</v>
      </c>
      <c r="H22" s="10" t="n">
        <f aca="false">G22*0.12</f>
        <v>0</v>
      </c>
      <c r="I22" s="10" t="n">
        <f aca="false">D22+H22</f>
        <v>360</v>
      </c>
    </row>
    <row r="23" customFormat="false" ht="15" hidden="false" customHeight="false" outlineLevel="0" collapsed="false">
      <c r="A23" s="4" t="s">
        <v>65</v>
      </c>
      <c r="B23" s="3" t="s">
        <v>66</v>
      </c>
      <c r="C23" s="5" t="n">
        <v>2020</v>
      </c>
      <c r="D23" s="6" t="n">
        <v>530</v>
      </c>
      <c r="E23" s="15" t="n">
        <v>2000</v>
      </c>
      <c r="F23" s="15" t="n">
        <v>1150</v>
      </c>
      <c r="G23" s="15" t="n">
        <f aca="false">MAX(0,F23-E23)</f>
        <v>0</v>
      </c>
      <c r="H23" s="6" t="n">
        <f aca="false">G23*0.12</f>
        <v>0</v>
      </c>
      <c r="I23" s="6" t="n">
        <f aca="false">D23+H23</f>
        <v>530</v>
      </c>
    </row>
    <row r="24" customFormat="false" ht="15" hidden="false" customHeight="false" outlineLevel="0" collapsed="false">
      <c r="A24" s="8" t="s">
        <v>67</v>
      </c>
      <c r="B24" s="7" t="s">
        <v>68</v>
      </c>
      <c r="C24" s="9" t="n">
        <v>2019</v>
      </c>
      <c r="D24" s="10" t="n">
        <v>345</v>
      </c>
      <c r="E24" s="21" t="n">
        <v>2000</v>
      </c>
      <c r="F24" s="21" t="n">
        <v>1947</v>
      </c>
      <c r="G24" s="21" t="n">
        <f aca="false">MAX(0,F24-E24)</f>
        <v>0</v>
      </c>
      <c r="H24" s="10" t="n">
        <f aca="false">G24*0.12</f>
        <v>0</v>
      </c>
      <c r="I24" s="10" t="n">
        <f aca="false">D24+H24</f>
        <v>345</v>
      </c>
    </row>
    <row r="25" customFormat="false" ht="15" hidden="false" customHeight="false" outlineLevel="0" collapsed="false">
      <c r="A25" s="4" t="s">
        <v>69</v>
      </c>
      <c r="B25" s="3" t="s">
        <v>70</v>
      </c>
      <c r="C25" s="5" t="n">
        <v>2021</v>
      </c>
      <c r="D25" s="6" t="n">
        <v>185</v>
      </c>
      <c r="E25" s="15" t="n">
        <v>2000</v>
      </c>
      <c r="F25" s="15" t="n">
        <v>1905</v>
      </c>
      <c r="G25" s="15" t="n">
        <f aca="false">MAX(0,F25-E25)</f>
        <v>0</v>
      </c>
      <c r="H25" s="6" t="n">
        <f aca="false">G25*0.12</f>
        <v>0</v>
      </c>
      <c r="I25" s="6" t="n">
        <f aca="false">D25+H25</f>
        <v>185</v>
      </c>
    </row>
    <row r="26" customFormat="false" ht="15" hidden="false" customHeight="false" outlineLevel="0" collapsed="false">
      <c r="A26" s="16" t="s">
        <v>71</v>
      </c>
      <c r="B26" s="17" t="s">
        <v>72</v>
      </c>
      <c r="C26" s="18" t="n">
        <v>2020</v>
      </c>
      <c r="D26" s="19" t="n">
        <v>290</v>
      </c>
      <c r="E26" s="20" t="n">
        <v>2000</v>
      </c>
      <c r="F26" s="20" t="n">
        <v>2239</v>
      </c>
      <c r="G26" s="20" t="n">
        <f aca="false">MAX(0,F26-E26)</f>
        <v>239</v>
      </c>
      <c r="H26" s="19" t="n">
        <f aca="false">G26*0.12</f>
        <v>28.68</v>
      </c>
      <c r="I26" s="19" t="n">
        <f aca="false">D26+H26</f>
        <v>318.68</v>
      </c>
    </row>
    <row r="27" customFormat="false" ht="15" hidden="false" customHeight="false" outlineLevel="0" collapsed="false">
      <c r="A27" s="16" t="s">
        <v>73</v>
      </c>
      <c r="B27" s="17" t="s">
        <v>74</v>
      </c>
      <c r="C27" s="18" t="n">
        <v>2022</v>
      </c>
      <c r="D27" s="19" t="n">
        <v>305</v>
      </c>
      <c r="E27" s="20" t="n">
        <v>2000</v>
      </c>
      <c r="F27" s="20" t="n">
        <v>3414</v>
      </c>
      <c r="G27" s="20" t="n">
        <f aca="false">MAX(0,F27-E27)</f>
        <v>1414</v>
      </c>
      <c r="H27" s="19" t="n">
        <f aca="false">G27*0.12</f>
        <v>169.68</v>
      </c>
      <c r="I27" s="19" t="n">
        <f aca="false">D27+H27</f>
        <v>474.68</v>
      </c>
    </row>
    <row r="28" customFormat="false" ht="15" hidden="false" customHeight="false" outlineLevel="0" collapsed="false">
      <c r="A28" s="8" t="s">
        <v>75</v>
      </c>
      <c r="B28" s="7" t="s">
        <v>76</v>
      </c>
      <c r="C28" s="9" t="n">
        <v>2021</v>
      </c>
      <c r="D28" s="10" t="n">
        <v>250</v>
      </c>
      <c r="E28" s="21" t="n">
        <v>2000</v>
      </c>
      <c r="F28" s="21" t="n">
        <v>1756</v>
      </c>
      <c r="G28" s="21" t="n">
        <f aca="false">MAX(0,F28-E28)</f>
        <v>0</v>
      </c>
      <c r="H28" s="10" t="n">
        <f aca="false">G28*0.12</f>
        <v>0</v>
      </c>
      <c r="I28" s="10" t="n">
        <f aca="false">D28+H28</f>
        <v>250</v>
      </c>
    </row>
    <row r="29" customFormat="false" ht="15" hidden="false" customHeight="false" outlineLevel="0" collapsed="false">
      <c r="A29" s="4" t="s">
        <v>77</v>
      </c>
      <c r="B29" s="3" t="s">
        <v>78</v>
      </c>
      <c r="C29" s="5" t="n">
        <v>2022</v>
      </c>
      <c r="D29" s="6" t="n">
        <v>270</v>
      </c>
      <c r="E29" s="15" t="n">
        <v>2000</v>
      </c>
      <c r="F29" s="15" t="n">
        <v>1191</v>
      </c>
      <c r="G29" s="15" t="n">
        <f aca="false">MAX(0,F29-E29)</f>
        <v>0</v>
      </c>
      <c r="H29" s="6" t="n">
        <f aca="false">G29*0.12</f>
        <v>0</v>
      </c>
      <c r="I29" s="6" t="n">
        <f aca="false">D29+H29</f>
        <v>270</v>
      </c>
    </row>
    <row r="30" customFormat="false" ht="15" hidden="false" customHeight="false" outlineLevel="0" collapsed="false">
      <c r="A30" s="8" t="s">
        <v>79</v>
      </c>
      <c r="B30" s="7" t="s">
        <v>80</v>
      </c>
      <c r="C30" s="9" t="n">
        <v>2021</v>
      </c>
      <c r="D30" s="10" t="n">
        <v>240</v>
      </c>
      <c r="E30" s="21" t="n">
        <v>2000</v>
      </c>
      <c r="F30" s="21" t="n">
        <v>1271</v>
      </c>
      <c r="G30" s="21" t="n">
        <f aca="false">MAX(0,F30-E30)</f>
        <v>0</v>
      </c>
      <c r="H30" s="10" t="n">
        <f aca="false">G30*0.12</f>
        <v>0</v>
      </c>
      <c r="I30" s="10" t="n">
        <f aca="false">D30+H30</f>
        <v>240</v>
      </c>
    </row>
    <row r="31" customFormat="false" ht="15" hidden="false" customHeight="false" outlineLevel="0" collapsed="false">
      <c r="A31" s="16" t="s">
        <v>81</v>
      </c>
      <c r="B31" s="17" t="s">
        <v>82</v>
      </c>
      <c r="C31" s="18" t="n">
        <v>2020</v>
      </c>
      <c r="D31" s="19" t="n">
        <v>310</v>
      </c>
      <c r="E31" s="20" t="n">
        <v>2000</v>
      </c>
      <c r="F31" s="20" t="n">
        <v>3088</v>
      </c>
      <c r="G31" s="20" t="n">
        <f aca="false">MAX(0,F31-E31)</f>
        <v>1088</v>
      </c>
      <c r="H31" s="19" t="n">
        <f aca="false">G31*0.12</f>
        <v>130.56</v>
      </c>
      <c r="I31" s="19" t="n">
        <f aca="false">D31+H31</f>
        <v>440.56</v>
      </c>
    </row>
    <row r="32" customFormat="false" ht="15" hidden="false" customHeight="false" outlineLevel="0" collapsed="false">
      <c r="A32" s="8" t="s">
        <v>83</v>
      </c>
      <c r="B32" s="7" t="s">
        <v>84</v>
      </c>
      <c r="C32" s="9" t="n">
        <v>2019</v>
      </c>
      <c r="D32" s="10" t="n">
        <v>265</v>
      </c>
      <c r="E32" s="21" t="n">
        <v>2000</v>
      </c>
      <c r="F32" s="21" t="n">
        <v>1934</v>
      </c>
      <c r="G32" s="21" t="n">
        <f aca="false">MAX(0,F32-E32)</f>
        <v>0</v>
      </c>
      <c r="H32" s="10" t="n">
        <f aca="false">G32*0.12</f>
        <v>0</v>
      </c>
      <c r="I32" s="10" t="n">
        <f aca="false">D32+H32</f>
        <v>265</v>
      </c>
    </row>
    <row r="33" customFormat="false" ht="15" hidden="false" customHeight="false" outlineLevel="0" collapsed="false">
      <c r="A33" s="4" t="s">
        <v>85</v>
      </c>
      <c r="B33" s="3" t="s">
        <v>86</v>
      </c>
      <c r="C33" s="5" t="n">
        <v>2021</v>
      </c>
      <c r="D33" s="6" t="n">
        <v>255</v>
      </c>
      <c r="E33" s="15" t="n">
        <v>2000</v>
      </c>
      <c r="F33" s="15" t="n">
        <v>1353</v>
      </c>
      <c r="G33" s="15" t="n">
        <f aca="false">MAX(0,F33-E33)</f>
        <v>0</v>
      </c>
      <c r="H33" s="6" t="n">
        <f aca="false">G33*0.12</f>
        <v>0</v>
      </c>
      <c r="I33" s="6" t="n">
        <f aca="false">D33+H33</f>
        <v>255</v>
      </c>
    </row>
    <row r="34" customFormat="false" ht="15" hidden="false" customHeight="false" outlineLevel="0" collapsed="false">
      <c r="A34" s="8" t="s">
        <v>87</v>
      </c>
      <c r="B34" s="7" t="s">
        <v>88</v>
      </c>
      <c r="C34" s="9" t="n">
        <v>2022</v>
      </c>
      <c r="D34" s="10" t="n">
        <v>195</v>
      </c>
      <c r="E34" s="21" t="n">
        <v>2000</v>
      </c>
      <c r="F34" s="21" t="n">
        <v>1729</v>
      </c>
      <c r="G34" s="21" t="n">
        <f aca="false">MAX(0,F34-E34)</f>
        <v>0</v>
      </c>
      <c r="H34" s="10" t="n">
        <f aca="false">G34*0.12</f>
        <v>0</v>
      </c>
      <c r="I34" s="10" t="n">
        <f aca="false">D34+H34</f>
        <v>195</v>
      </c>
    </row>
    <row r="35" customFormat="false" ht="15" hidden="false" customHeight="false" outlineLevel="0" collapsed="false">
      <c r="A35" s="4" t="s">
        <v>89</v>
      </c>
      <c r="B35" s="3" t="s">
        <v>90</v>
      </c>
      <c r="C35" s="5" t="n">
        <v>2020</v>
      </c>
      <c r="D35" s="6" t="n">
        <v>420</v>
      </c>
      <c r="E35" s="15" t="n">
        <v>2000</v>
      </c>
      <c r="F35" s="15" t="n">
        <v>1394</v>
      </c>
      <c r="G35" s="15" t="n">
        <f aca="false">MAX(0,F35-E35)</f>
        <v>0</v>
      </c>
      <c r="H35" s="6" t="n">
        <f aca="false">G35*0.12</f>
        <v>0</v>
      </c>
      <c r="I35" s="6" t="n">
        <f aca="false">D35+H35</f>
        <v>420</v>
      </c>
    </row>
    <row r="36" customFormat="false" ht="15" hidden="false" customHeight="false" outlineLevel="0" collapsed="false">
      <c r="A36" s="16" t="s">
        <v>91</v>
      </c>
      <c r="B36" s="17" t="s">
        <v>92</v>
      </c>
      <c r="C36" s="18" t="n">
        <v>2021</v>
      </c>
      <c r="D36" s="19" t="n">
        <v>580</v>
      </c>
      <c r="E36" s="20" t="n">
        <v>2000</v>
      </c>
      <c r="F36" s="20" t="n">
        <v>2621</v>
      </c>
      <c r="G36" s="20" t="n">
        <f aca="false">MAX(0,F36-E36)</f>
        <v>621</v>
      </c>
      <c r="H36" s="19" t="n">
        <f aca="false">G36*0.12</f>
        <v>74.52</v>
      </c>
      <c r="I36" s="19" t="n">
        <f aca="false">D36+H36</f>
        <v>654.52</v>
      </c>
    </row>
    <row r="37" customFormat="false" ht="15" hidden="false" customHeight="false" outlineLevel="0" collapsed="false">
      <c r="A37" s="16" t="s">
        <v>93</v>
      </c>
      <c r="B37" s="17" t="s">
        <v>94</v>
      </c>
      <c r="C37" s="18" t="n">
        <v>2020</v>
      </c>
      <c r="D37" s="19" t="n">
        <v>610</v>
      </c>
      <c r="E37" s="20" t="n">
        <v>2000</v>
      </c>
      <c r="F37" s="20" t="n">
        <v>2341</v>
      </c>
      <c r="G37" s="20" t="n">
        <f aca="false">MAX(0,F37-E37)</f>
        <v>341</v>
      </c>
      <c r="H37" s="19" t="n">
        <f aca="false">G37*0.12</f>
        <v>40.92</v>
      </c>
      <c r="I37" s="19" t="n">
        <f aca="false">D37+H37</f>
        <v>650.92</v>
      </c>
    </row>
    <row r="38" customFormat="false" ht="15" hidden="false" customHeight="false" outlineLevel="0" collapsed="false">
      <c r="A38" s="8" t="s">
        <v>95</v>
      </c>
      <c r="B38" s="7" t="s">
        <v>96</v>
      </c>
      <c r="C38" s="9" t="n">
        <v>2022</v>
      </c>
      <c r="D38" s="10" t="n">
        <v>650</v>
      </c>
      <c r="E38" s="21" t="n">
        <v>2000</v>
      </c>
      <c r="F38" s="21" t="n">
        <v>1701</v>
      </c>
      <c r="G38" s="21" t="n">
        <f aca="false">MAX(0,F38-E38)</f>
        <v>0</v>
      </c>
      <c r="H38" s="10" t="n">
        <f aca="false">G38*0.12</f>
        <v>0</v>
      </c>
      <c r="I38" s="10" t="n">
        <f aca="false">D38+H38</f>
        <v>650</v>
      </c>
    </row>
    <row r="39" customFormat="false" ht="15" hidden="false" customHeight="false" outlineLevel="0" collapsed="false">
      <c r="A39" s="4" t="s">
        <v>97</v>
      </c>
      <c r="B39" s="3" t="s">
        <v>98</v>
      </c>
      <c r="C39" s="5" t="n">
        <v>2021</v>
      </c>
      <c r="D39" s="6" t="n">
        <v>540</v>
      </c>
      <c r="E39" s="15" t="n">
        <v>2000</v>
      </c>
      <c r="F39" s="15" t="n">
        <v>1761</v>
      </c>
      <c r="G39" s="15" t="n">
        <f aca="false">MAX(0,F39-E39)</f>
        <v>0</v>
      </c>
      <c r="H39" s="6" t="n">
        <f aca="false">G39*0.12</f>
        <v>0</v>
      </c>
      <c r="I39" s="6" t="n">
        <f aca="false">D39+H39</f>
        <v>540</v>
      </c>
    </row>
    <row r="40" customFormat="false" ht="15" hidden="false" customHeight="false" outlineLevel="0" collapsed="false">
      <c r="A40" s="16" t="s">
        <v>99</v>
      </c>
      <c r="B40" s="17" t="s">
        <v>100</v>
      </c>
      <c r="C40" s="18" t="n">
        <v>2022</v>
      </c>
      <c r="D40" s="19" t="n">
        <v>380</v>
      </c>
      <c r="E40" s="20" t="n">
        <v>2000</v>
      </c>
      <c r="F40" s="20" t="n">
        <v>2237</v>
      </c>
      <c r="G40" s="20" t="n">
        <f aca="false">MAX(0,F40-E40)</f>
        <v>237</v>
      </c>
      <c r="H40" s="19" t="n">
        <f aca="false">G40*0.12</f>
        <v>28.44</v>
      </c>
      <c r="I40" s="19" t="n">
        <f aca="false">D40+H40</f>
        <v>408.44</v>
      </c>
    </row>
    <row r="41" customFormat="false" ht="15" hidden="false" customHeight="false" outlineLevel="0" collapsed="false">
      <c r="A41" s="16" t="s">
        <v>101</v>
      </c>
      <c r="B41" s="17" t="s">
        <v>102</v>
      </c>
      <c r="C41" s="18" t="n">
        <v>2019</v>
      </c>
      <c r="D41" s="19" t="n">
        <v>370</v>
      </c>
      <c r="E41" s="20" t="n">
        <v>2000</v>
      </c>
      <c r="F41" s="20" t="n">
        <v>3603</v>
      </c>
      <c r="G41" s="20" t="n">
        <f aca="false">MAX(0,F41-E41)</f>
        <v>1603</v>
      </c>
      <c r="H41" s="19" t="n">
        <f aca="false">G41*0.12</f>
        <v>192.36</v>
      </c>
      <c r="I41" s="19" t="n">
        <f aca="false">D41+H41</f>
        <v>562.36</v>
      </c>
    </row>
    <row r="42" customFormat="false" ht="15" hidden="false" customHeight="false" outlineLevel="0" collapsed="false">
      <c r="A42" s="8" t="s">
        <v>103</v>
      </c>
      <c r="B42" s="7" t="s">
        <v>104</v>
      </c>
      <c r="C42" s="9" t="n">
        <v>2020</v>
      </c>
      <c r="D42" s="10" t="n">
        <v>430</v>
      </c>
      <c r="E42" s="21" t="n">
        <v>2000</v>
      </c>
      <c r="F42" s="21" t="n">
        <v>1189</v>
      </c>
      <c r="G42" s="21" t="n">
        <f aca="false">MAX(0,F42-E42)</f>
        <v>0</v>
      </c>
      <c r="H42" s="10" t="n">
        <f aca="false">G42*0.12</f>
        <v>0</v>
      </c>
      <c r="I42" s="10" t="n">
        <f aca="false">D42+H42</f>
        <v>430</v>
      </c>
    </row>
    <row r="43" customFormat="false" ht="15" hidden="false" customHeight="false" outlineLevel="0" collapsed="false">
      <c r="A43" s="4" t="s">
        <v>105</v>
      </c>
      <c r="B43" s="3" t="s">
        <v>106</v>
      </c>
      <c r="C43" s="5" t="n">
        <v>2021</v>
      </c>
      <c r="D43" s="6" t="n">
        <v>415</v>
      </c>
      <c r="E43" s="15" t="n">
        <v>2000</v>
      </c>
      <c r="F43" s="15" t="n">
        <v>1159</v>
      </c>
      <c r="G43" s="15" t="n">
        <f aca="false">MAX(0,F43-E43)</f>
        <v>0</v>
      </c>
      <c r="H43" s="6" t="n">
        <f aca="false">G43*0.12</f>
        <v>0</v>
      </c>
      <c r="I43" s="6" t="n">
        <f aca="false">D43+H43</f>
        <v>415</v>
      </c>
    </row>
    <row r="44" customFormat="false" ht="15" hidden="false" customHeight="false" outlineLevel="0" collapsed="false">
      <c r="A44" s="8" t="s">
        <v>107</v>
      </c>
      <c r="B44" s="7" t="s">
        <v>108</v>
      </c>
      <c r="C44" s="9" t="n">
        <v>2022</v>
      </c>
      <c r="D44" s="10" t="n">
        <v>435</v>
      </c>
      <c r="E44" s="21" t="n">
        <v>2000</v>
      </c>
      <c r="F44" s="21" t="n">
        <v>1527</v>
      </c>
      <c r="G44" s="21" t="n">
        <f aca="false">MAX(0,F44-E44)</f>
        <v>0</v>
      </c>
      <c r="H44" s="10" t="n">
        <f aca="false">G44*0.12</f>
        <v>0</v>
      </c>
      <c r="I44" s="10" t="n">
        <f aca="false">D44+H44</f>
        <v>435</v>
      </c>
    </row>
    <row r="45" customFormat="false" ht="15" hidden="false" customHeight="false" outlineLevel="0" collapsed="false">
      <c r="A45" s="4" t="s">
        <v>109</v>
      </c>
      <c r="B45" s="3" t="s">
        <v>110</v>
      </c>
      <c r="C45" s="5" t="n">
        <v>2021</v>
      </c>
      <c r="D45" s="6" t="n">
        <v>275</v>
      </c>
      <c r="E45" s="15" t="n">
        <v>2000</v>
      </c>
      <c r="F45" s="15" t="n">
        <v>1270</v>
      </c>
      <c r="G45" s="15" t="n">
        <f aca="false">MAX(0,F45-E45)</f>
        <v>0</v>
      </c>
      <c r="H45" s="6" t="n">
        <f aca="false">G45*0.12</f>
        <v>0</v>
      </c>
      <c r="I45" s="6" t="n">
        <f aca="false">D45+H45</f>
        <v>275</v>
      </c>
    </row>
    <row r="46" customFormat="false" ht="15" hidden="false" customHeight="false" outlineLevel="0" collapsed="false">
      <c r="A46" s="16" t="s">
        <v>111</v>
      </c>
      <c r="B46" s="17" t="s">
        <v>112</v>
      </c>
      <c r="C46" s="18" t="n">
        <v>2020</v>
      </c>
      <c r="D46" s="19" t="n">
        <v>260</v>
      </c>
      <c r="E46" s="20" t="n">
        <v>2000</v>
      </c>
      <c r="F46" s="20" t="n">
        <v>2873</v>
      </c>
      <c r="G46" s="20" t="n">
        <f aca="false">MAX(0,F46-E46)</f>
        <v>873</v>
      </c>
      <c r="H46" s="19" t="n">
        <f aca="false">G46*0.12</f>
        <v>104.76</v>
      </c>
      <c r="I46" s="19" t="n">
        <f aca="false">D46+H46</f>
        <v>364.76</v>
      </c>
    </row>
    <row r="47" customFormat="false" ht="15" hidden="false" customHeight="false" outlineLevel="0" collapsed="false">
      <c r="A47" s="4" t="s">
        <v>113</v>
      </c>
      <c r="B47" s="3" t="s">
        <v>114</v>
      </c>
      <c r="C47" s="5" t="n">
        <v>2019</v>
      </c>
      <c r="D47" s="6" t="n">
        <v>270</v>
      </c>
      <c r="E47" s="15" t="n">
        <v>2000</v>
      </c>
      <c r="F47" s="15" t="n">
        <v>1936</v>
      </c>
      <c r="G47" s="15" t="n">
        <f aca="false">MAX(0,F47-E47)</f>
        <v>0</v>
      </c>
      <c r="H47" s="6" t="n">
        <f aca="false">G47*0.12</f>
        <v>0</v>
      </c>
      <c r="I47" s="6" t="n">
        <f aca="false">D47+H47</f>
        <v>270</v>
      </c>
    </row>
    <row r="48" customFormat="false" ht="15" hidden="false" customHeight="false" outlineLevel="0" collapsed="false">
      <c r="A48" s="8" t="s">
        <v>115</v>
      </c>
      <c r="B48" s="7" t="s">
        <v>116</v>
      </c>
      <c r="C48" s="9" t="n">
        <v>2021</v>
      </c>
      <c r="D48" s="10" t="n">
        <v>295</v>
      </c>
      <c r="E48" s="21" t="n">
        <v>2000</v>
      </c>
      <c r="F48" s="21" t="n">
        <v>1956</v>
      </c>
      <c r="G48" s="21" t="n">
        <f aca="false">MAX(0,F48-E48)</f>
        <v>0</v>
      </c>
      <c r="H48" s="10" t="n">
        <f aca="false">G48*0.12</f>
        <v>0</v>
      </c>
      <c r="I48" s="10" t="n">
        <f aca="false">D48+H48</f>
        <v>295</v>
      </c>
    </row>
    <row r="49" customFormat="false" ht="15" hidden="false" customHeight="false" outlineLevel="0" collapsed="false">
      <c r="A49" s="4" t="s">
        <v>117</v>
      </c>
      <c r="B49" s="3" t="s">
        <v>118</v>
      </c>
      <c r="C49" s="5" t="n">
        <v>2020</v>
      </c>
      <c r="D49" s="6" t="n">
        <v>390</v>
      </c>
      <c r="E49" s="15" t="n">
        <v>2000</v>
      </c>
      <c r="F49" s="15" t="n">
        <v>1990</v>
      </c>
      <c r="G49" s="15" t="n">
        <f aca="false">MAX(0,F49-E49)</f>
        <v>0</v>
      </c>
      <c r="H49" s="6" t="n">
        <f aca="false">G49*0.12</f>
        <v>0</v>
      </c>
      <c r="I49" s="6" t="n">
        <f aca="false">D49+H49</f>
        <v>390</v>
      </c>
    </row>
    <row r="50" customFormat="false" ht="15" hidden="false" customHeight="false" outlineLevel="0" collapsed="false">
      <c r="A50" s="8" t="s">
        <v>119</v>
      </c>
      <c r="B50" s="7" t="s">
        <v>120</v>
      </c>
      <c r="C50" s="9" t="n">
        <v>2022</v>
      </c>
      <c r="D50" s="10" t="n">
        <v>440</v>
      </c>
      <c r="E50" s="21" t="n">
        <v>2000</v>
      </c>
      <c r="F50" s="21" t="n">
        <v>1623</v>
      </c>
      <c r="G50" s="21" t="n">
        <f aca="false">MAX(0,F50-E50)</f>
        <v>0</v>
      </c>
      <c r="H50" s="10" t="n">
        <f aca="false">G50*0.12</f>
        <v>0</v>
      </c>
      <c r="I50" s="10" t="n">
        <f aca="false">D50+H50</f>
        <v>440</v>
      </c>
    </row>
    <row r="51" customFormat="false" ht="15" hidden="false" customHeight="false" outlineLevel="0" collapsed="false">
      <c r="A51" s="16" t="s">
        <v>121</v>
      </c>
      <c r="B51" s="17" t="s">
        <v>122</v>
      </c>
      <c r="C51" s="18" t="n">
        <v>2021</v>
      </c>
      <c r="D51" s="19" t="n">
        <v>480</v>
      </c>
      <c r="E51" s="20" t="n">
        <v>2000</v>
      </c>
      <c r="F51" s="20" t="n">
        <v>3707</v>
      </c>
      <c r="G51" s="20" t="n">
        <f aca="false">MAX(0,F51-E51)</f>
        <v>1707</v>
      </c>
      <c r="H51" s="19" t="n">
        <f aca="false">G51*0.12</f>
        <v>204.84</v>
      </c>
      <c r="I51" s="19" t="n">
        <f aca="false">D51+H51</f>
        <v>684.84</v>
      </c>
    </row>
    <row r="52" customFormat="false" ht="15" hidden="false" customHeight="false" outlineLevel="0" collapsed="false">
      <c r="A52" s="8" t="s">
        <v>123</v>
      </c>
      <c r="B52" s="7" t="s">
        <v>124</v>
      </c>
      <c r="C52" s="9" t="n">
        <v>2020</v>
      </c>
      <c r="D52" s="10" t="n">
        <v>420</v>
      </c>
      <c r="E52" s="21" t="n">
        <v>2000</v>
      </c>
      <c r="F52" s="21" t="n">
        <v>1465</v>
      </c>
      <c r="G52" s="21" t="n">
        <f aca="false">MAX(0,F52-E52)</f>
        <v>0</v>
      </c>
      <c r="H52" s="10" t="n">
        <f aca="false">G52*0.12</f>
        <v>0</v>
      </c>
      <c r="I52" s="10" t="n">
        <f aca="false">D52+H52</f>
        <v>420</v>
      </c>
    </row>
    <row r="53" customFormat="false" ht="15" hidden="false" customHeight="false" outlineLevel="0" collapsed="false">
      <c r="A53" s="4" t="s">
        <v>125</v>
      </c>
      <c r="B53" s="3" t="s">
        <v>126</v>
      </c>
      <c r="C53" s="5" t="n">
        <v>2022</v>
      </c>
      <c r="D53" s="6" t="n">
        <v>455</v>
      </c>
      <c r="E53" s="15" t="n">
        <v>2000</v>
      </c>
      <c r="F53" s="15" t="n">
        <v>1413</v>
      </c>
      <c r="G53" s="15" t="n">
        <f aca="false">MAX(0,F53-E53)</f>
        <v>0</v>
      </c>
      <c r="H53" s="6" t="n">
        <f aca="false">G53*0.12</f>
        <v>0</v>
      </c>
      <c r="I53" s="6" t="n">
        <f aca="false">D53+H53</f>
        <v>455</v>
      </c>
    </row>
    <row r="54" customFormat="false" ht="15" hidden="false" customHeight="false" outlineLevel="0" collapsed="false">
      <c r="A54" s="8" t="s">
        <v>127</v>
      </c>
      <c r="B54" s="7" t="s">
        <v>128</v>
      </c>
      <c r="C54" s="9" t="n">
        <v>2021</v>
      </c>
      <c r="D54" s="10" t="n">
        <v>385</v>
      </c>
      <c r="E54" s="21" t="n">
        <v>2000</v>
      </c>
      <c r="F54" s="21" t="n">
        <v>1318</v>
      </c>
      <c r="G54" s="21" t="n">
        <f aca="false">MAX(0,F54-E54)</f>
        <v>0</v>
      </c>
      <c r="H54" s="10" t="n">
        <f aca="false">G54*0.12</f>
        <v>0</v>
      </c>
      <c r="I54" s="10" t="n">
        <f aca="false">D54+H54</f>
        <v>385</v>
      </c>
    </row>
    <row r="55" customFormat="false" ht="15" hidden="false" customHeight="false" outlineLevel="0" collapsed="false">
      <c r="A55" s="11" t="s">
        <v>129</v>
      </c>
      <c r="B55" s="11"/>
      <c r="C55" s="11"/>
      <c r="D55" s="13" t="n">
        <f aca="false">SUM(D5:D54)</f>
        <v>19205</v>
      </c>
      <c r="E55" s="22"/>
      <c r="F55" s="22"/>
      <c r="G55" s="23" t="n">
        <f aca="false">SUM(G5:G54)</f>
        <v>9031</v>
      </c>
      <c r="H55" s="13" t="n">
        <f aca="false">SUM(H5:H54)</f>
        <v>1083.72</v>
      </c>
      <c r="I55" s="13" t="n">
        <f aca="false">SUM(I5:I54)</f>
        <v>20288.72</v>
      </c>
    </row>
    <row r="57" customFormat="false" ht="15" hidden="false" customHeight="false" outlineLevel="0" collapsed="false">
      <c r="A57" s="24" t="s">
        <v>130</v>
      </c>
      <c r="B57" s="24"/>
      <c r="C57" s="24"/>
      <c r="D57" s="24"/>
      <c r="E57" s="24"/>
      <c r="F57" s="24"/>
      <c r="G57" s="24"/>
      <c r="H57" s="24"/>
      <c r="I57" s="24"/>
    </row>
  </sheetData>
  <mergeCells count="4">
    <mergeCell ref="A1:I1"/>
    <mergeCell ref="A2:I2"/>
    <mergeCell ref="A55:C55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2026-05-04T22:49:25Z</dcterms:created>
  <dc:creator>openpyxl</dc:creator>
  <dc:description/>
  <dc:language>en-US</dc:language>
  <cp:lastModifiedBy/>
  <dcterms:modified xsi:type="dcterms:W3CDTF">2026-05-04T22:49:25Z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